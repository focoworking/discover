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_rels/pivotTable5.xml.rels" ContentType="application/vnd.openxmlformats-package.relationships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5.xml" ContentType="application/vnd.openxmlformats-officedocument.spreadsheetml.pivotTabl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Prospectos" sheetId="2" state="visible" r:id="rId4"/>
    <sheet name="TD_Area_Web" sheetId="3" state="visible" r:id="rId5"/>
    <sheet name="TD_Industria_Web" sheetId="4" state="visible" r:id="rId6"/>
    <sheet name="TD_Nicho_Web" sheetId="5" state="visible" r:id="rId7"/>
    <sheet name="TD_Legal_Prioridad" sheetId="6" state="visible" r:id="rId8"/>
    <sheet name="TD_Redes" sheetId="7" state="visible" r:id="rId9"/>
    <sheet name="Parametros" sheetId="8" state="visible" r:id="rId10"/>
    <sheet name="Oportunidad_Industria" sheetId="9" state="visible" r:id="rId11"/>
    <sheet name="Macro_Areas" sheetId="10" state="visible" r:id="rId12"/>
    <sheet name="Adopcion_Digital" sheetId="11" state="visible" r:id="rId13"/>
    <sheet name="Google_Ads" sheetId="12" state="visible" r:id="rId14"/>
    <sheet name="Legal_Cumplimiento" sheetId="13" state="visible" r:id="rId15"/>
    <sheet name="Metodologia" sheetId="14" state="visible" r:id="rId16"/>
  </sheets>
  <definedNames>
    <definedName function="false" hidden="true" localSheetId="1" name="_xlnm._FilterDatabase" vbProcedure="false">Prospectos!$A$4:$AH$289</definedName>
  </definedNames>
  <calcPr iterateCount="100" refMode="A1" iterate="false" iterateDelta="0.0001"/>
  <pivotCaches>
    <pivotCache cacheId="1" r:id="rId1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<sst xmlns="http://schemas.openxmlformats.org/spreadsheetml/2006/main" count="6595" uniqueCount="3123">
  <si>
    <t xml:space="preserve">Oportunidad digital – Miami-Dade y Broward</t>
  </si>
  <si>
    <t xml:space="preserve">Empresas establecidas sin web o con web obsoleta. Tablas dinámicas en hojas TD_*. Septiembre 2026.</t>
  </si>
  <si>
    <t xml:space="preserve">Indicadores</t>
  </si>
  <si>
    <t xml:space="preserve">Por condado</t>
  </si>
  <si>
    <t xml:space="preserve">Mercado</t>
  </si>
  <si>
    <t xml:space="preserve">Prospectos identificados</t>
  </si>
  <si>
    <t xml:space="preserve">Miami-Dade</t>
  </si>
  <si>
    <t xml:space="preserve">Establecimientos Miami-Dade (CBP 2023)</t>
  </si>
  <si>
    <t xml:space="preserve">Sin sitio web</t>
  </si>
  <si>
    <t xml:space="preserve">Broward</t>
  </si>
  <si>
    <t xml:space="preserve">Establecimientos Broward (CBP 2022)</t>
  </si>
  <si>
    <t xml:space="preserve">Sitio obsoleto / desordenado</t>
  </si>
  <si>
    <t xml:space="preserve">Solicitudes de negocio FL 2024</t>
  </si>
  <si>
    <t xml:space="preserve">Brecha confirmada (%)</t>
  </si>
  <si>
    <t xml:space="preserve">Con brecha en Miami-Dade</t>
  </si>
  <si>
    <t xml:space="preserve">Pymes EE.UU. sin web (Clutch 2025)</t>
  </si>
  <si>
    <t xml:space="preserve">Prioridad A</t>
  </si>
  <si>
    <t xml:space="preserve">Con brecha en Broward</t>
  </si>
  <si>
    <t xml:space="preserve">Demandas ADA Title III FL 2025</t>
  </si>
  <si>
    <t xml:space="preserve">Pendientes de verificar web</t>
  </si>
  <si>
    <t xml:space="preserve">CPC promedio Google Ads 2025</t>
  </si>
  <si>
    <t xml:space="preserve">Hallazgos clave</t>
  </si>
  <si>
    <t xml:space="preserve">1. Medley, Hialeah y Doral concentran la brecha más valiosa: manufactura, transporte y distribución B2B con 10–100 empleados, décadas operando y presencia solo en directorios (BBB, Manta, Yelp).</t>
  </si>
  <si>
    <t xml:space="preserve">2. Transporte de carga (flotas de 55–66 camiones en Medley) y contratistas (Construct Group ~100 empleados con plantilla web sin editar) = prioridad A: ticket alto y competidores ya digitalizados.</t>
  </si>
  <si>
    <t xml:space="preserve">3. En la náutica de Fort Lauderdale la mayoría ya tiene web. La oportunidad está en talleres antiguos (desde 1976–1999) con solo BBB/Yelp y en rediseño de sitios básicos.</t>
  </si>
  <si>
    <t xml:space="preserve">4. HVAC, plomería y administración de propiedades (Davie, Sunrise, North Miami) muestran alta proporción de negocios sin dominio propio y CPL de Google Ads de $76–100: fácil demostrar ROI.</t>
  </si>
  <si>
    <t xml:space="preserve">5. Florida es 2.º estado en demandas ADA (1,823 en 2025): una web accesible (WCAG 2.2 AA) es un argumento de venta con riesgo legal cuantificable.</t>
  </si>
  <si>
    <t xml:space="preserve">6. Canal de contacto recomendado: email B2B 1 a 1 (CAN-SPAM) + visita presencial. Evitar llamadas/SMS automatizados (FTSA: $500–1,500 por violación).</t>
  </si>
  <si>
    <t xml:space="preserve">7. Escalamiento: datasets abiertos BTR de Miami-Dade/Broward + SFTP de Sunbiz permiten pasar de ~95 a miles de prospectos con verificación automática de dominio.</t>
  </si>
  <si>
    <t xml:space="preserve">Hojas: Prospectos · TD_Area_Web · TD_Industria_Web · TD_Legal_Prioridad · TD_Redes · Oportunidad_Industria · Macro_Areas · Adopcion_Digital · Google_Ads · Legal_Cumplimiento · Parametros · Metodologia</t>
  </si>
  <si>
    <t xml:space="preserve">Prospectos: empresas con brecha digital</t>
  </si>
  <si>
    <t xml:space="preserve">Fuente por fila. Columnas azules/amarillas = completar tras verificación en Sunbiz y Google Maps.</t>
  </si>
  <si>
    <t xml:space="preserve">ID</t>
  </si>
  <si>
    <t xml:space="preserve">Empresa</t>
  </si>
  <si>
    <t xml:space="preserve">Municipio</t>
  </si>
  <si>
    <t xml:space="preserve">Barrio/zona</t>
  </si>
  <si>
    <t xml:space="preserve">Condado</t>
  </si>
  <si>
    <t xml:space="preserve">Sector (detalle)</t>
  </si>
  <si>
    <t xml:space="preserve">NAICS</t>
  </si>
  <si>
    <t xml:space="preserve">Industria (NAICS)</t>
  </si>
  <si>
    <t xml:space="preserve">Forma legal</t>
  </si>
  <si>
    <t xml:space="preserve">Estado web</t>
  </si>
  <si>
    <t xml:space="preserve">Redes sociales</t>
  </si>
  <si>
    <t xml:space="preserve">Tiene redes</t>
  </si>
  <si>
    <t xml:space="preserve">Evidencia</t>
  </si>
  <si>
    <t xml:space="preserve">Fuente</t>
  </si>
  <si>
    <t xml:space="preserve">Empleados (est.)</t>
  </si>
  <si>
    <t xml:space="preserve">Año fundación</t>
  </si>
  <si>
    <t xml:space="preserve">Peso web</t>
  </si>
  <si>
    <t xml:space="preserve">Peso sector</t>
  </si>
  <si>
    <t xml:space="preserve">Señal tamaño</t>
  </si>
  <si>
    <t xml:space="preserve">Puntaje</t>
  </si>
  <si>
    <t xml:space="preserve">Prioridad</t>
  </si>
  <si>
    <t xml:space="preserve">Estado Sunbiz</t>
  </si>
  <si>
    <t xml:space="preserve">Próximo paso</t>
  </si>
  <si>
    <t xml:space="preserve">Dirección</t>
  </si>
  <si>
    <t xml:space="preserve">Teléfono</t>
  </si>
  <si>
    <t xml:space="preserve">Web</t>
  </si>
  <si>
    <t xml:space="preserve">Facebook</t>
  </si>
  <si>
    <t xml:space="preserve">Instagram</t>
  </si>
  <si>
    <t xml:space="preserve">LinkedIn</t>
  </si>
  <si>
    <t xml:space="preserve">Yelp</t>
  </si>
  <si>
    <t xml:space="preserve">Fuente contacto</t>
  </si>
  <si>
    <t xml:space="preserve">Alerta</t>
  </si>
  <si>
    <t xml:space="preserve">Nota contacto</t>
  </si>
  <si>
    <t xml:space="preserve">Nicho</t>
  </si>
  <si>
    <t xml:space="preserve">P001</t>
  </si>
  <si>
    <t xml:space="preserve">Jonel Knitting Mills Inc</t>
  </si>
  <si>
    <t xml:space="preserve">Hialeah</t>
  </si>
  <si>
    <t xml:space="preserve">Manufactura textil (tejidos de punto)</t>
  </si>
  <si>
    <t xml:space="preserve">31</t>
  </si>
  <si>
    <t xml:space="preserve">31-33 Manufactura</t>
  </si>
  <si>
    <t xml:space="preserve">Inc</t>
  </si>
  <si>
    <t xml:space="preserve">Ninguna encontrada</t>
  </si>
  <si>
    <t xml:space="preserve">No</t>
  </si>
  <si>
    <t xml:space="preserve">Manta: fundada 1987, ~25 empleados; sin web ni Facebook</t>
  </si>
  <si>
    <t xml:space="preserve">https://www.manta.com/c/mmn1h0x/jonel-knitting-mills-inc</t>
  </si>
  <si>
    <t xml:space="preserve">Inactive</t>
  </si>
  <si>
    <t xml:space="preserve">490 W 18th St, Hialeah, FL 33010</t>
  </si>
  <si>
    <t xml:space="preserve">(305) 887-7333</t>
  </si>
  <si>
    <t xml:space="preserve">https://us.o2osell.com/shops/jonel-knitting-mills</t>
  </si>
  <si>
    <t xml:space="preserve">Posible cerrado</t>
  </si>
  <si>
    <t xml:space="preserve">posible cerrado: Sunbiz INACTIVE (disuelta administrativamente 25/09/2020); web no encontrada</t>
  </si>
  <si>
    <t xml:space="preserve">Moda y confección</t>
  </si>
  <si>
    <t xml:space="preserve">P002</t>
  </si>
  <si>
    <t xml:space="preserve">Steel Works Rebar Fabricators LLC</t>
  </si>
  <si>
    <t xml:space="preserve">Medley</t>
  </si>
  <si>
    <t xml:space="preserve">Fabricación de acero/varilla</t>
  </si>
  <si>
    <t xml:space="preserve">33</t>
  </si>
  <si>
    <t xml:space="preserve">LLC</t>
  </si>
  <si>
    <t xml:space="preserve">Facebook; Yelp</t>
  </si>
  <si>
    <t xml:space="preserve">Sí</t>
  </si>
  <si>
    <t xml:space="preserve">Est. 2007, 10-19 empleados; solo directorios y Facebook</t>
  </si>
  <si>
    <t xml:space="preserve">https://www.manta.com/c/mmcwr0p/steel-works-rebar-fabricators-llc</t>
  </si>
  <si>
    <t xml:space="preserve">Pendiente</t>
  </si>
  <si>
    <t xml:space="preserve">7265 NW 74th St, Medley, FL 33166</t>
  </si>
  <si>
    <t xml:space="preserve">(305) 285-5188</t>
  </si>
  <si>
    <t xml:space="preserve">https://www.facebook.com/SteelWorksRebar/</t>
  </si>
  <si>
    <t xml:space="preserve">https://www.yelp.com/biz/steel-works-rebarb-fabricators-medley</t>
  </si>
  <si>
    <t xml:space="preserve">https://www.thebluebook.com/iProView/771162/steel-works-rebar-fabricators/material-suppliers</t>
  </si>
  <si>
    <t xml:space="preserve">web no encontrada</t>
  </si>
  <si>
    <t xml:space="preserve">Construcción y materiales</t>
  </si>
  <si>
    <t xml:space="preserve">P003</t>
  </si>
  <si>
    <t xml:space="preserve">All Welding and Machine Shop Inc</t>
  </si>
  <si>
    <t xml:space="preserve">Soldadura/taller industrial</t>
  </si>
  <si>
    <t xml:space="preserve">Solo YellowPages, Superpages, Manta, Waze</t>
  </si>
  <si>
    <t xml:space="preserve">https://www.yellowpages.com/medley-fl/mip/all-welding-and-machine-shop-inc-474064250</t>
  </si>
  <si>
    <t xml:space="preserve">7221 NW 78th Ter, Medley, FL 33166</t>
  </si>
  <si>
    <t xml:space="preserve">(786) 444-9464</t>
  </si>
  <si>
    <t xml:space="preserve">Manufactura e industria</t>
  </si>
  <si>
    <t xml:space="preserve">P004</t>
  </si>
  <si>
    <t xml:space="preserve">Hialeah Plumbing Supply Company</t>
  </si>
  <si>
    <t xml:space="preserve">Distribución suministros de plomería</t>
  </si>
  <si>
    <t xml:space="preserve">42</t>
  </si>
  <si>
    <t xml:space="preserve">42 Comercio mayorista</t>
  </si>
  <si>
    <t xml:space="preserve">Corp</t>
  </si>
  <si>
    <t xml:space="preserve">Sunbiz: registrada 05/17/1989, Active | Forma legal fuente: Corp (Sunbiz: Florida Profit Corp)</t>
  </si>
  <si>
    <t xml:space="preserve">https://search.sunbiz.org/Inquiry/CorporationSearch/ByName</t>
  </si>
  <si>
    <t xml:space="preserve">Active</t>
  </si>
  <si>
    <t xml:space="preserve">no encontrado con ese nombre exacto; posible cerrado o nombre distinto</t>
  </si>
  <si>
    <t xml:space="preserve">Climatización y plomería</t>
  </si>
  <si>
    <t xml:space="preserve">P005</t>
  </si>
  <si>
    <t xml:space="preserve">Florida Paving &amp; Trucking Inc</t>
  </si>
  <si>
    <t xml:space="preserve">Homestead</t>
  </si>
  <si>
    <t xml:space="preserve">Pavimentación/movimiento de tierra</t>
  </si>
  <si>
    <t xml:space="preserve">23</t>
  </si>
  <si>
    <t xml:space="preserve">23 Construcción y oficios</t>
  </si>
  <si>
    <t xml:space="preserve">Nextdoor</t>
  </si>
  <si>
    <t xml:space="preserve">Est. 1992; solo BBB, D&amp;B, Manta, Yelp, Procore</t>
  </si>
  <si>
    <t xml:space="preserve">https://www.bbb.org/us/fl/homestead/profile/paving-contractors/florida-paving-trucking-inc-0633-5003759</t>
  </si>
  <si>
    <t xml:space="preserve">30451 SW 217th Ave, Homestead, FL 33030</t>
  </si>
  <si>
    <t xml:space="preserve">(305) 246-0006</t>
  </si>
  <si>
    <t xml:space="preserve">web no encontrada; no confundir con Florida Paving and Trucking Services LLC</t>
  </si>
  <si>
    <t xml:space="preserve">P006</t>
  </si>
  <si>
    <t xml:space="preserve">Marante Forwarding Co Inc</t>
  </si>
  <si>
    <t xml:space="preserve">Logística - freight forwarding</t>
  </si>
  <si>
    <t xml:space="preserve">48</t>
  </si>
  <si>
    <t xml:space="preserve">48-49 Transporte y logística</t>
  </si>
  <si>
    <t xml:space="preserve">Est. 1970; licencia OTI revocada 2003: verificar Sunbiz | Forma legal fuente: Inc (posible inactiva)</t>
  </si>
  <si>
    <t xml:space="preserve">https://www.manta.com/c/mm2vydb/marante-forwarding-co-inc</t>
  </si>
  <si>
    <t xml:space="preserve">Verificar Sunbiz (posible inactiva)</t>
  </si>
  <si>
    <t xml:space="preserve">4182 W 6th Ave, Hialeah, FL 33012</t>
  </si>
  <si>
    <t xml:space="preserve">(305) 827-2637</t>
  </si>
  <si>
    <t xml:space="preserve">posible cerrado: licencia OTI revocada 04/06/2003</t>
  </si>
  <si>
    <t xml:space="preserve">Transporte y logística</t>
  </si>
  <si>
    <t xml:space="preserve">P007</t>
  </si>
  <si>
    <t xml:space="preserve">Truck Brokerage by National Inc</t>
  </si>
  <si>
    <t xml:space="preserve">Transporte de carga (roca/arena)</t>
  </si>
  <si>
    <t xml:space="preserve">Sitio obsoleto</t>
  </si>
  <si>
    <t xml:space="preserve">Est. 1986, 55 camiones (FMCSA); web http sin HTTPS, páginas .html estáticas</t>
  </si>
  <si>
    <t xml:space="preserve">http://www.truckbrokeragebynational.com/</t>
  </si>
  <si>
    <t xml:space="preserve">12060 NW South River Dr, Medley, FL 33178</t>
  </si>
  <si>
    <t xml:space="preserve">(305) 888-1717</t>
  </si>
  <si>
    <t xml:space="preserve">truckbrokeragebynational.com</t>
  </si>
  <si>
    <t xml:space="preserve">http://www.truckbrokeragebynational.com/Contact-Us.html</t>
  </si>
  <si>
    <t xml:space="preserve">P008</t>
  </si>
  <si>
    <t xml:space="preserve">Construct Group Corp</t>
  </si>
  <si>
    <t xml:space="preserve">Hialeah Gardens</t>
  </si>
  <si>
    <t xml:space="preserve">Contratista civil (FDOT)</t>
  </si>
  <si>
    <t xml:space="preserve">Est. 2001, ~100 empleados, 625 proyectos; título web 'HOME | My Site' (plantilla sin personalizar)</t>
  </si>
  <si>
    <t xml:space="preserve">https://www.constructgroupcorp.com/</t>
  </si>
  <si>
    <t xml:space="preserve">12121 NW 98th Ave, Hialeah Gardens, FL 33018</t>
  </si>
  <si>
    <t xml:space="preserve">(305) 824-8845</t>
  </si>
  <si>
    <t xml:space="preserve">constructgroupcorp.com</t>
  </si>
  <si>
    <t xml:space="preserve">https://www.yelp.com/biz/construct-group-corporation-hialeah</t>
  </si>
  <si>
    <t xml:space="preserve">https://local.yahoo.com/info-195070502-construct-group-corp-hialeah-gardens/</t>
  </si>
  <si>
    <t xml:space="preserve">P009</t>
  </si>
  <si>
    <t xml:space="preserve">Professional Plumbing Corp</t>
  </si>
  <si>
    <t xml:space="preserve">Contratista de plomería comercial</t>
  </si>
  <si>
    <t xml:space="preserve">Desde 1973 (W Hotel, Fontainebleau); dos dominios, uno en http</t>
  </si>
  <si>
    <t xml:space="preserve">https://www.buildzoom.com/contractor/professional-plumbing-corp</t>
  </si>
  <si>
    <t xml:space="preserve">1755 W 39th Pl, Hialeah, FL 33012</t>
  </si>
  <si>
    <t xml:space="preserve">(305) 822-8282</t>
  </si>
  <si>
    <t xml:space="preserve">proplumb.net</t>
  </si>
  <si>
    <t xml:space="preserve">https://www.facebook.com/p/Professional-Plumbing-Corp-100068491297165/</t>
  </si>
  <si>
    <t xml:space="preserve">https://www.yelp.com/biz/professional-plumbing-hialeah</t>
  </si>
  <si>
    <t xml:space="preserve">http://www.proplumb.net/contact_us.php</t>
  </si>
  <si>
    <t xml:space="preserve">P010</t>
  </si>
  <si>
    <t xml:space="preserve">AA Florida Pallets Inc</t>
  </si>
  <si>
    <t xml:space="preserve">Fabricación/reciclaje de paletas</t>
  </si>
  <si>
    <t xml:space="preserve">32</t>
  </si>
  <si>
    <t xml:space="preserve">Título web con errata 'Welcom to AA Florida Pallets'</t>
  </si>
  <si>
    <t xml:space="preserve">https://www.manta.com/c/mhx9tn8/aa-florida-pallets-inc</t>
  </si>
  <si>
    <t xml:space="preserve">7611 NW 74th Ave, Medley, FL 33166</t>
  </si>
  <si>
    <t xml:space="preserve">(305) 805-1522</t>
  </si>
  <si>
    <t xml:space="preserve">aafloridapallets.com</t>
  </si>
  <si>
    <t xml:space="preserve">http://aafloridapallets.com/contact/</t>
  </si>
  <si>
    <t xml:space="preserve">P011</t>
  </si>
  <si>
    <t xml:space="preserve">High Quality Trucking Inc</t>
  </si>
  <si>
    <t xml:space="preserve">Transporte de carga/contenedores</t>
  </si>
  <si>
    <t xml:space="preserve">Est. 2006, 66 camiones; dominio no coincide con la marca</t>
  </si>
  <si>
    <t xml:space="preserve">https://www.carriersource.io/carriers/high-quality-trucking-inc</t>
  </si>
  <si>
    <t xml:space="preserve">9830 NW 114th Way, Medley, FL 33178</t>
  </si>
  <si>
    <t xml:space="preserve">(305) 882-0288</t>
  </si>
  <si>
    <t xml:space="preserve">hqtrucking.com</t>
  </si>
  <si>
    <t xml:space="preserve">https://bubba.ai/trucking-companies/florida/medley/high-quality-trucking-inc-1571543</t>
  </si>
  <si>
    <t xml:space="preserve">P012</t>
  </si>
  <si>
    <t xml:space="preserve">Hialeah Bakery and Foods Inc</t>
  </si>
  <si>
    <t xml:space="preserve">Panadería</t>
  </si>
  <si>
    <t xml:space="preserve">Tiene web (auditar)</t>
  </si>
  <si>
    <t xml:space="preserve">Est. 1996, 24h; contacto con Gmail (señal de baja madurez digital)</t>
  </si>
  <si>
    <t xml:space="preserve">https://www.facebook.com/hialeahbakery/</t>
  </si>
  <si>
    <t xml:space="preserve">1022 E 27th St, Hialeah, FL 33013</t>
  </si>
  <si>
    <t xml:space="preserve">(305) 403-0785</t>
  </si>
  <si>
    <t xml:space="preserve">https://www.yelp.com/biz/hialeah-bakery-hialeah</t>
  </si>
  <si>
    <t xml:space="preserve">https://www.yellowpages.com/hialeah-fl/mip/hialeah-bakery-and-foods-inc-516471321</t>
  </si>
  <si>
    <t xml:space="preserve">web no encontrada en esta búsqueda</t>
  </si>
  <si>
    <t xml:space="preserve">Panaderías y cafeterías</t>
  </si>
  <si>
    <t xml:space="preserve">P013</t>
  </si>
  <si>
    <t xml:space="preserve">Los Tres Conejitos Bakery</t>
  </si>
  <si>
    <t xml:space="preserve">No verificado</t>
  </si>
  <si>
    <t xml:space="preserve">Facebook; Instagram; Yelp</t>
  </si>
  <si>
    <t xml:space="preserve">Est. 2001, familiar; solo Yelp</t>
  </si>
  <si>
    <t xml:space="preserve">https://www.yelp.com/biz/los-tres-conejitos-bakery-hialeah</t>
  </si>
  <si>
    <t xml:space="preserve">1912 W 60th St, Hialeah, FL 33012</t>
  </si>
  <si>
    <t xml:space="preserve">(305) 821-5740</t>
  </si>
  <si>
    <t xml:space="preserve">los3conejitos.com</t>
  </si>
  <si>
    <t xml:space="preserve">https://www.facebook.com/p/Los-3-Conejitos-Bakery-100065355975126/</t>
  </si>
  <si>
    <t xml:space="preserve">https://www.instagram.com/los3conejitosbakery/</t>
  </si>
  <si>
    <t xml:space="preserve">https://www.yellowpages.com/hialeah-fl/mip/los-tres-conejitos-bakery-9677333</t>
  </si>
  <si>
    <t xml:space="preserve">web por verificar</t>
  </si>
  <si>
    <t xml:space="preserve">P014</t>
  </si>
  <si>
    <t xml:space="preserve">Tango Body Shop</t>
  </si>
  <si>
    <t xml:space="preserve">Automotriz - carrocería</t>
  </si>
  <si>
    <t xml:space="preserve">81</t>
  </si>
  <si>
    <t xml:space="preserve">81 Servicios (auto, náutico, reparación)</t>
  </si>
  <si>
    <t xml:space="preserve">20+ años; solo Yelp</t>
  </si>
  <si>
    <t xml:space="preserve">https://www.yelp.com/biz/tango-body-shop-hialeah</t>
  </si>
  <si>
    <t xml:space="preserve">1756 W 41st St, Ste C &amp; D, Hialeah, FL 33012</t>
  </si>
  <si>
    <t xml:space="preserve">(305) 825-3389</t>
  </si>
  <si>
    <t xml:space="preserve">https://www.showmelocal.com/profile.aspx?bid=8986658</t>
  </si>
  <si>
    <t xml:space="preserve">web no encontrada; nombre legal Tango Paint &amp; Body Shop Inc</t>
  </si>
  <si>
    <t xml:space="preserve">Automotriz</t>
  </si>
  <si>
    <t xml:space="preserve">P015</t>
  </si>
  <si>
    <t xml:space="preserve">Pro Collision Center LLC</t>
  </si>
  <si>
    <t xml:space="preserve">Presencia desordenada</t>
  </si>
  <si>
    <t xml:space="preserve">Desde 2008, I-Car Gold; dos dominios distintos</t>
  </si>
  <si>
    <t xml:space="preserve">https://www.bbb.org/us/fl/hialeah/profile/auto-body-repair-and-painting/procollision-center-llc-0633-90024812</t>
  </si>
  <si>
    <t xml:space="preserve">275 W 75th Pl, Hialeah, FL 33014</t>
  </si>
  <si>
    <t xml:space="preserve">(305) 364-3676</t>
  </si>
  <si>
    <t xml:space="preserve">procollisiononline.com</t>
  </si>
  <si>
    <t xml:space="preserve">https://www.facebook.com/procollision75/</t>
  </si>
  <si>
    <t xml:space="preserve">https://www.yelp.com/biz/pro-collision-center-hialeah</t>
  </si>
  <si>
    <t xml:space="preserve">P016</t>
  </si>
  <si>
    <t xml:space="preserve">Sari Express Forwarders Inc</t>
  </si>
  <si>
    <t xml:space="preserve">Solo Manta</t>
  </si>
  <si>
    <t xml:space="preserve">https://www.manta.com/c/mm43fmb/sari-express-forwarders-inc</t>
  </si>
  <si>
    <t xml:space="preserve">9501 NW 80th Ave, Hialeah, FL 33016</t>
  </si>
  <si>
    <t xml:space="preserve">(305) 827-5453</t>
  </si>
  <si>
    <t xml:space="preserve">sariexpressonline.com</t>
  </si>
  <si>
    <t xml:space="preserve">https://www.yelp.com/biz/sari-express-forwarders-hialeah</t>
  </si>
  <si>
    <t xml:space="preserve">https://local.yahoo.com/info-14171006-sari-express-forwarders-incorporated-hialeah</t>
  </si>
  <si>
    <t xml:space="preserve">P017</t>
  </si>
  <si>
    <t xml:space="preserve">Global Cargo Connection Inc</t>
  </si>
  <si>
    <t xml:space="preserve">Logística - consolidación de carga</t>
  </si>
  <si>
    <t xml:space="preserve">Categoría Freight Forwarding Manta Hialeah</t>
  </si>
  <si>
    <t xml:space="preserve">https://www.manta.com/mb_55_B52DB05K_33S/freight_forwarding/hialeah_fl</t>
  </si>
  <si>
    <t xml:space="preserve">Hialeah, FL 33010</t>
  </si>
  <si>
    <t xml:space="preserve">(305) 200-6048</t>
  </si>
  <si>
    <t xml:space="preserve">https://www.yellowpages.com/hialeah-fl/mip/global-cargo-connection-inc-28687289</t>
  </si>
  <si>
    <t xml:space="preserve">web no encontrada; sin dirección con calle</t>
  </si>
  <si>
    <t xml:space="preserve">P018</t>
  </si>
  <si>
    <t xml:space="preserve">Marante Distributors Corp</t>
  </si>
  <si>
    <t xml:space="preserve">Distribución mayorista</t>
  </si>
  <si>
    <t xml:space="preserve">Solo Yahoo Local</t>
  </si>
  <si>
    <t xml:space="preserve">https://local.yahoo.com/info-211983306-marante-distributors-corp-hialeah/</t>
  </si>
  <si>
    <t xml:space="preserve">1301 W 80th St, Hialeah, FL 33014</t>
  </si>
  <si>
    <t xml:space="preserve">Sin datos de contacto</t>
  </si>
  <si>
    <t xml:space="preserve">web no encontrada; teléfono no encontrado</t>
  </si>
  <si>
    <t xml:space="preserve">Mayoristas y distribución</t>
  </si>
  <si>
    <t xml:space="preserve">P019</t>
  </si>
  <si>
    <t xml:space="preserve">Medina &amp; Son Plumbing Supply Inc</t>
  </si>
  <si>
    <t xml:space="preserve">Desde 1987, 84+ reseñas</t>
  </si>
  <si>
    <t xml:space="preserve">https://www.yelp.com/biz/medina-and-son-plumbing-supply-hialeah</t>
  </si>
  <si>
    <t xml:space="preserve">75 W 4th St, Hialeah, FL 33010</t>
  </si>
  <si>
    <t xml:space="preserve">(305) 887-1611</t>
  </si>
  <si>
    <t xml:space="preserve">https://www.facebook.com/p/Medina-Sons-Plumbing-Supply-100066909060360/</t>
  </si>
  <si>
    <t xml:space="preserve">https://www.yellowpages.com/hialeah-fl/mip/medina-son-plumbing-supply-inc-480070831</t>
  </si>
  <si>
    <t xml:space="preserve">P020</t>
  </si>
  <si>
    <t xml:space="preserve">Manny's Plumbing Service</t>
  </si>
  <si>
    <t xml:space="preserve">Plomería</t>
  </si>
  <si>
    <t xml:space="preserve">Manta: est. 1993</t>
  </si>
  <si>
    <t xml:space="preserve">https://www.manta.com/c/mmf1sbc/manny-s-plumbing-service</t>
  </si>
  <si>
    <t xml:space="preserve">1631 W 38th Pl, #1502A, Hialeah, FL 33012</t>
  </si>
  <si>
    <t xml:space="preserve">(305) 825-4333</t>
  </si>
  <si>
    <t xml:space="preserve">https://www.yelp.com/biz/mannys-plumbing-service-hialeah</t>
  </si>
  <si>
    <t xml:space="preserve">https://local.yahoo.com/info-14173587-manny-s-plumbing-service-hialeah/</t>
  </si>
  <si>
    <t xml:space="preserve">P021</t>
  </si>
  <si>
    <t xml:space="preserve">All Star Aluminum Windows &amp; Doors Inc</t>
  </si>
  <si>
    <t xml:space="preserve">Ventanas/puertas de aluminio</t>
  </si>
  <si>
    <t xml:space="preserve">Fundada 2003</t>
  </si>
  <si>
    <t xml:space="preserve">https://www.bbb.org/us/fl/hialeah/profile/impact-windows/all-star-aluminum-windows-doors-inc-0633-90034252</t>
  </si>
  <si>
    <t xml:space="preserve">2689 W 76th St, Unit 18, Hialeah, FL 33016</t>
  </si>
  <si>
    <t xml:space="preserve">(305) 558-0612</t>
  </si>
  <si>
    <t xml:space="preserve">allstaraluminum.com</t>
  </si>
  <si>
    <t xml:space="preserve">https://www.facebook.com/ALLSTARALUMINUMWINDOWS/</t>
  </si>
  <si>
    <t xml:space="preserve">https://www.yelp.com/biz/all-star-aluminum-window-and-doors-hialeah</t>
  </si>
  <si>
    <t xml:space="preserve">https://allstaraluminum.com/contact/</t>
  </si>
  <si>
    <t xml:space="preserve">P022</t>
  </si>
  <si>
    <t xml:space="preserve">Panther &amp; Co Inc</t>
  </si>
  <si>
    <t xml:space="preserve">Transporte y almacenaje</t>
  </si>
  <si>
    <t xml:space="preserve">Facebook; Instagram</t>
  </si>
  <si>
    <t xml:space="preserve">Est. 1989, ~17 empleados, ~$2.7M</t>
  </si>
  <si>
    <t xml:space="preserve">https://www.manta.com/c/mtqlxt4/panther-co-inc</t>
  </si>
  <si>
    <t xml:space="preserve">8321 NW 90th St, Medley, FL 33166</t>
  </si>
  <si>
    <t xml:space="preserve">(305) 471-0993</t>
  </si>
  <si>
    <t xml:space="preserve">pantherandco.com</t>
  </si>
  <si>
    <t xml:space="preserve">https://www.facebook.com/PantherandCo/</t>
  </si>
  <si>
    <t xml:space="preserve">https://www.instagram.com/panthertrucking/</t>
  </si>
  <si>
    <t xml:space="preserve">P023</t>
  </si>
  <si>
    <t xml:space="preserve">Medley Steel and Supply Inc</t>
  </si>
  <si>
    <t xml:space="preserve">Distribución de acero</t>
  </si>
  <si>
    <t xml:space="preserve">Facebook; LinkedIn; Yelp</t>
  </si>
  <si>
    <t xml:space="preserve">Desde 1978, exporta Caribe/LatAm</t>
  </si>
  <si>
    <t xml:space="preserve">https://www.yellowpages.com/medley-fl/medley-steel-and-supply-inc</t>
  </si>
  <si>
    <t xml:space="preserve">9925 NW 116th Way, Medley, FL 33178</t>
  </si>
  <si>
    <t xml:space="preserve">(305) 863-7480</t>
  </si>
  <si>
    <t xml:space="preserve">medleysteel.com</t>
  </si>
  <si>
    <t xml:space="preserve">https://www.facebook.com/Medleysteelsupply/</t>
  </si>
  <si>
    <t xml:space="preserve">https://www.linkedin.com/company/medley-steel-&amp;-supply-inc</t>
  </si>
  <si>
    <t xml:space="preserve">https://www.yelp.com/biz/medley-steel-supply-medley</t>
  </si>
  <si>
    <t xml:space="preserve">https://medleysteel.com/contact</t>
  </si>
  <si>
    <t xml:space="preserve">P024</t>
  </si>
  <si>
    <t xml:space="preserve">Amigo Pallets Inc</t>
  </si>
  <si>
    <t xml:space="preserve">Facebook; LinkedIn</t>
  </si>
  <si>
    <t xml:space="preserve">Est. 2010; IG 172 seguidores</t>
  </si>
  <si>
    <t xml:space="preserve">https://www.facebook.com/amigopallets/</t>
  </si>
  <si>
    <t xml:space="preserve">7650 NW 69th Ave, Medley, FL 33166</t>
  </si>
  <si>
    <t xml:space="preserve">(305) 887-2522</t>
  </si>
  <si>
    <t xml:space="preserve">amigopallets.com</t>
  </si>
  <si>
    <t xml:space="preserve">https://www.linkedin.com/company/amigo-pallets-florida</t>
  </si>
  <si>
    <t xml:space="preserve">https://amigopallets.com/contact-us/</t>
  </si>
  <si>
    <t xml:space="preserve">P025</t>
  </si>
  <si>
    <t xml:space="preserve">Medley Machine Shop Inc</t>
  </si>
  <si>
    <t xml:space="preserve">Taller mecánico industrial</t>
  </si>
  <si>
    <t xml:space="preserve">Fundada 1994; dominio sin confirmar</t>
  </si>
  <si>
    <t xml:space="preserve">https://www.dnb.com/business-directory/company-profiles.medley_machine_shop_inc.b0232bd608d5d99948dd3a3504105627.html</t>
  </si>
  <si>
    <t xml:space="preserve">9452 NW 109th St, Medley, FL 33178</t>
  </si>
  <si>
    <t xml:space="preserve">(305) 884-3200</t>
  </si>
  <si>
    <t xml:space="preserve">medleymachine.com</t>
  </si>
  <si>
    <t xml:space="preserve">https://www.yelp.com/biz/medley-machine-shop-and-welding-service-medley</t>
  </si>
  <si>
    <t xml:space="preserve">https://www.medleymachine.com/contact</t>
  </si>
  <si>
    <t xml:space="preserve">mismo negocio que Gondia Machine Shop (P027)</t>
  </si>
  <si>
    <t xml:space="preserve">P026</t>
  </si>
  <si>
    <t xml:space="preserve">Pablo's Machine Shop &amp; Welding Corp</t>
  </si>
  <si>
    <t xml:space="preserve">Maquinado/soldadura industrial</t>
  </si>
  <si>
    <t xml:space="preserve">Incorporada 2012; dos dominios distintos</t>
  </si>
  <si>
    <t xml:space="preserve">https://www.yelp.com/biz/pablos-machine-shop-and-welding-corp-medley</t>
  </si>
  <si>
    <t xml:space="preserve">10925 NW South River Dr, Medley, FL 33178</t>
  </si>
  <si>
    <t xml:space="preserve">(305) 884-3664</t>
  </si>
  <si>
    <t xml:space="preserve">pablosmachineshopmedley.com</t>
  </si>
  <si>
    <t xml:space="preserve">https://local.yahoo.com/info-102811657-pablo-s-machine-shop-welding-corp-medley/</t>
  </si>
  <si>
    <t xml:space="preserve">dos dominios (también visitpablo.com)</t>
  </si>
  <si>
    <t xml:space="preserve">P027</t>
  </si>
  <si>
    <t xml:space="preserve">Gondia Machine Shop</t>
  </si>
  <si>
    <t xml:space="preserve">https://www.manta.com/c/mm4dqwp/gondia-machine-shop</t>
  </si>
  <si>
    <t xml:space="preserve">Duplicado</t>
  </si>
  <si>
    <t xml:space="preserve">(305) 763-7494</t>
  </si>
  <si>
    <t xml:space="preserve">https://www.yelp.com/biz/gondia-machine-shop-medley</t>
  </si>
  <si>
    <t xml:space="preserve">https://www.yellowpages.com/medley-fl/mip/gondia-machine-shop-inc-5836328</t>
  </si>
  <si>
    <t xml:space="preserve">duplicado de P025 (Medley Machine Shop &amp; Welding Service)</t>
  </si>
  <si>
    <t xml:space="preserve">P028</t>
  </si>
  <si>
    <t xml:space="preserve">Super Diesel Truck Repair Inc</t>
  </si>
  <si>
    <t xml:space="preserve">Reparación camiones diésel</t>
  </si>
  <si>
    <t xml:space="preserve">3.5 estrellas / 13 reseñas</t>
  </si>
  <si>
    <t xml:space="preserve">https://www.manta.com/c/mhcrbf8/super-diesel-truck-repair-inc</t>
  </si>
  <si>
    <t xml:space="preserve">9861 NW 117th Way, Medley, FL 33178</t>
  </si>
  <si>
    <t xml:space="preserve">(305) 863-8500</t>
  </si>
  <si>
    <t xml:space="preserve">superdieseltruckrepair.com</t>
  </si>
  <si>
    <t xml:space="preserve">https://www.yelp.com/biz/super-diesel-truck-repair-medley</t>
  </si>
  <si>
    <t xml:space="preserve">https://www.yellowpages.com/medley-fl/mip/super-diesel-truck-repair-9289623</t>
  </si>
  <si>
    <t xml:space="preserve">P029</t>
  </si>
  <si>
    <t xml:space="preserve">LaRosa Diesel Mechanical</t>
  </si>
  <si>
    <t xml:space="preserve">Solo Yelp</t>
  </si>
  <si>
    <t xml:space="preserve">https://www.yelp.com/biz/larosa-diesel-mechanical-medley</t>
  </si>
  <si>
    <t xml:space="preserve">12370 NW 106th Ct, Medley, FL 33178</t>
  </si>
  <si>
    <t xml:space="preserve">(786) 431-5712</t>
  </si>
  <si>
    <t xml:space="preserve">larosadieselmechanical.com</t>
  </si>
  <si>
    <t xml:space="preserve">https://larosadieselmechanical.com/</t>
  </si>
  <si>
    <t xml:space="preserve">P030</t>
  </si>
  <si>
    <t xml:space="preserve">CYMA Truck Repair</t>
  </si>
  <si>
    <t xml:space="preserve">https://www.yelp.com/biz/cyma-truck-repair-medley</t>
  </si>
  <si>
    <t xml:space="preserve">10007 NW 87th Ave, Medley, FL 33178</t>
  </si>
  <si>
    <t xml:space="preserve">(305) 888-8810</t>
  </si>
  <si>
    <t xml:space="preserve">https://www.facebook.com/CymaTruckRepairsCorp/</t>
  </si>
  <si>
    <t xml:space="preserve">P031</t>
  </si>
  <si>
    <t xml:space="preserve">International Cruise Food &amp; Hotel Suppliers Inc</t>
  </si>
  <si>
    <t xml:space="preserve">Distribución alimentaria a cruceros</t>
  </si>
  <si>
    <t xml:space="preserve">Inc. 1998, almacén 200,000 ft²</t>
  </si>
  <si>
    <t xml:space="preserve">https://www.manta.com/c/mm21vw1/international-cruise-food-hotel-suppliers-inc</t>
  </si>
  <si>
    <t xml:space="preserve">9350 NW 108th Ave, Suite 100, Medley, FL 33178</t>
  </si>
  <si>
    <t xml:space="preserve">(305) 653-2042</t>
  </si>
  <si>
    <t xml:space="preserve">icfh.com</t>
  </si>
  <si>
    <t xml:space="preserve">https://www.linkedin.com/company/international-cruise-food-hotel-suppliers-inc</t>
  </si>
  <si>
    <t xml:space="preserve">https://icfh.com/contact-us/</t>
  </si>
  <si>
    <t xml:space="preserve">P032</t>
  </si>
  <si>
    <t xml:space="preserve">Allsteel &amp; Gypsum Products Inc</t>
  </si>
  <si>
    <t xml:space="preserve">Distribución materiales de construcción</t>
  </si>
  <si>
    <t xml:space="preserve">LinkedIn; Yelp</t>
  </si>
  <si>
    <t xml:space="preserve">URL /index.html: sitio estático antiguo (no confirmado)</t>
  </si>
  <si>
    <t xml:space="preserve">https://www.allsteelproducts.com/index.html</t>
  </si>
  <si>
    <t xml:space="preserve">7660 NW 69th Ave, Medley, FL 33166</t>
  </si>
  <si>
    <t xml:space="preserve">(305) 805-0058</t>
  </si>
  <si>
    <t xml:space="preserve">allsteelproducts.com</t>
  </si>
  <si>
    <t xml:space="preserve">https://www.linkedin.com/company/allsteel-&amp;-gypsum-inc</t>
  </si>
  <si>
    <t xml:space="preserve">https://www.yelp.com/biz/allsteel-and-gypsum-medley-2</t>
  </si>
  <si>
    <t xml:space="preserve">https://www.allsteelproducts.com/contact.php</t>
  </si>
  <si>
    <t xml:space="preserve">P033</t>
  </si>
  <si>
    <t xml:space="preserve">Structural Prestressed Industries Inc</t>
  </si>
  <si>
    <t xml:space="preserve">Prefabricados de concreto</t>
  </si>
  <si>
    <t xml:space="preserve">Est. 1996, gran prefabricadora</t>
  </si>
  <si>
    <t xml:space="preserve">https://buildingrenewable.com/12-best-precast-concrete-construction-companies-in-florida/</t>
  </si>
  <si>
    <t xml:space="preserve">11405 NW 112th Ct, Medley, FL 33178</t>
  </si>
  <si>
    <t xml:space="preserve">(305) 556-6699</t>
  </si>
  <si>
    <t xml:space="preserve">spimiami.com</t>
  </si>
  <si>
    <t xml:space="preserve">https://www.facebook.com/spimiami/</t>
  </si>
  <si>
    <t xml:space="preserve">https://www.linkedin.com/company/structural-prestressed-industries-inc-</t>
  </si>
  <si>
    <t xml:space="preserve">http://www.buzzfile.com/business/SPI-305-556-6699</t>
  </si>
  <si>
    <t xml:space="preserve">P034</t>
  </si>
  <si>
    <t xml:space="preserve">Doral Freight Logistics Inc</t>
  </si>
  <si>
    <t xml:space="preserve">Doral</t>
  </si>
  <si>
    <t xml:space="preserve">Logística - transporte</t>
  </si>
  <si>
    <t xml:space="preserve">Est. 1999, ~50 empleados, ~$9.4M</t>
  </si>
  <si>
    <t xml:space="preserve">https://www.manta.com/c/mm33hkb/doral-freight-logistics-inc</t>
  </si>
  <si>
    <t xml:space="preserve">11450 NW 34th St, Suite 100, Doral, FL 33178</t>
  </si>
  <si>
    <t xml:space="preserve">(305) 477-1022</t>
  </si>
  <si>
    <t xml:space="preserve">doralfreight.com</t>
  </si>
  <si>
    <t xml:space="preserve">https://m.yelp.com/biz/doral-freight-logistics-doral</t>
  </si>
  <si>
    <t xml:space="preserve">https://doralfreight.com/doral-freight/contact-us/</t>
  </si>
  <si>
    <t xml:space="preserve">P035</t>
  </si>
  <si>
    <t xml:space="preserve">Senaduana Freight Forwarders Inc</t>
  </si>
  <si>
    <t xml:space="preserve">Est. 2004</t>
  </si>
  <si>
    <t xml:space="preserve">https://www.manta.com/c/mmgmgjl/senaduana-freight-forwarders-inc</t>
  </si>
  <si>
    <t xml:space="preserve">7778 NW 46th St, Doral, FL 33166</t>
  </si>
  <si>
    <t xml:space="preserve">(305) 392-6741</t>
  </si>
  <si>
    <t xml:space="preserve">senaduana.com</t>
  </si>
  <si>
    <t xml:space="preserve">https://www.yelp.com/biz/senaduana-freight-forwarders-doral</t>
  </si>
  <si>
    <t xml:space="preserve">https://www.chamberofcommerce.com/business-directory/florida/doral/freight-forwarding-service/2002172929-senaduana-freight-forwarders</t>
  </si>
  <si>
    <t xml:space="preserve">P036</t>
  </si>
  <si>
    <t xml:space="preserve">Conavenca Freight Forwarder LLC</t>
  </si>
  <si>
    <t xml:space="preserve">https://www.manta.com/c/mhks6tw/conavenca-freight-forwarder-llc</t>
  </si>
  <si>
    <t xml:space="preserve">6300 NW 97th Ave, Doral, FL 33178</t>
  </si>
  <si>
    <t xml:space="preserve">(786) 336-8181</t>
  </si>
  <si>
    <t xml:space="preserve">conavenca.us</t>
  </si>
  <si>
    <t xml:space="preserve">https://www.facebook.com/conavenca/</t>
  </si>
  <si>
    <t xml:space="preserve">https://freight-forwarding-companies.cmac.ws/conavenca-freight-forwarder/14222/</t>
  </si>
  <si>
    <t xml:space="preserve">dos direcciones distintas en las fuentes</t>
  </si>
  <si>
    <t xml:space="preserve">P037</t>
  </si>
  <si>
    <t xml:space="preserve">TMC Import &amp; Export Co</t>
  </si>
  <si>
    <t xml:space="preserve">Import/export (embalaje y equipos)</t>
  </si>
  <si>
    <t xml:space="preserve">Est. 1981, ~11 empleados, ~$2.4M | Forma legal fuente: LLC (según YP)</t>
  </si>
  <si>
    <t xml:space="preserve">https://www.manta.com/c/mbg66v7/tmc-import-export-co</t>
  </si>
  <si>
    <t xml:space="preserve">Coincidencia dudosa</t>
  </si>
  <si>
    <t xml:space="preserve">coincidencia dudosa con T M Import &amp; Export (otro ZIP): no se asignan datos</t>
  </si>
  <si>
    <t xml:space="preserve">P038</t>
  </si>
  <si>
    <t xml:space="preserve">Barahona's Food Distributor LLC</t>
  </si>
  <si>
    <t xml:space="preserve">Distribución de alimentos</t>
  </si>
  <si>
    <t xml:space="preserve">Solo Bizapedia</t>
  </si>
  <si>
    <t xml:space="preserve">https://www.bizapedia.com/fl/barahonas-food-distributor-llc.html</t>
  </si>
  <si>
    <t xml:space="preserve">2003 NW 79th Ave, Doral, FL 33122</t>
  </si>
  <si>
    <t xml:space="preserve">(305) 640-8414</t>
  </si>
  <si>
    <t xml:space="preserve">bfdistributor.com</t>
  </si>
  <si>
    <t xml:space="preserve">https://www.yellowpages.com/doral-fl/mip/barahonas-food-distributor-547632699</t>
  </si>
  <si>
    <t xml:space="preserve">P039</t>
  </si>
  <si>
    <t xml:space="preserve">Loman Distributors Inc</t>
  </si>
  <si>
    <t xml:space="preserve">https://www.bizapedia.com/fl/loman-distributors-inc.html</t>
  </si>
  <si>
    <t xml:space="preserve">2740 NW 112th Ave, Doral, FL 33172</t>
  </si>
  <si>
    <t xml:space="preserve">(305) 513-8377</t>
  </si>
  <si>
    <t xml:space="preserve">lomandistributors.com</t>
  </si>
  <si>
    <t xml:space="preserve">https://www.yelp.com/biz/loman-distributers-doral</t>
  </si>
  <si>
    <t xml:space="preserve">https://fabric-stores.cmac.ws/loman-distributors/11229/</t>
  </si>
  <si>
    <t xml:space="preserve">P040</t>
  </si>
  <si>
    <t xml:space="preserve">K &amp; K Dental Associates</t>
  </si>
  <si>
    <t xml:space="preserve">Clínica dental</t>
  </si>
  <si>
    <t xml:space="preserve">62</t>
  </si>
  <si>
    <t xml:space="preserve">62 Salud</t>
  </si>
  <si>
    <t xml:space="preserve">Solo Facebook</t>
  </si>
  <si>
    <t xml:space="preserve">https://www.facebook.com/kkdentaldoral/</t>
  </si>
  <si>
    <t xml:space="preserve">2600 NW 87th Ave, Ste 29, Doral, FL 33172</t>
  </si>
  <si>
    <t xml:space="preserve">(305) 225-5050</t>
  </si>
  <si>
    <t xml:space="preserve">kkdentaldoral.com</t>
  </si>
  <si>
    <t xml:space="preserve">https://www.instagram.com/kkdental/</t>
  </si>
  <si>
    <t xml:space="preserve">https://www.patientconnect365.com/MicrositeContact/Florida/Doral/33172/K__K_Dental</t>
  </si>
  <si>
    <t xml:space="preserve">Dental</t>
  </si>
  <si>
    <t xml:space="preserve">P041</t>
  </si>
  <si>
    <t xml:space="preserve">Doral Family Dental</t>
  </si>
  <si>
    <t xml:space="preserve">https://www.facebook.com/doralfamilydentalfl/</t>
  </si>
  <si>
    <t xml:space="preserve">7800 NW 25th St, Ste 11, Doral, FL 33122</t>
  </si>
  <si>
    <t xml:space="preserve">(305) 894-3223</t>
  </si>
  <si>
    <t xml:space="preserve">doralfamilydental.com</t>
  </si>
  <si>
    <t xml:space="preserve">https://www.yelp.com/biz/doral-family-dental-doral</t>
  </si>
  <si>
    <t xml:space="preserve">https://doralfamilydental.com/about/</t>
  </si>
  <si>
    <t xml:space="preserve">P042</t>
  </si>
  <si>
    <t xml:space="preserve">Brothers Produce Inc</t>
  </si>
  <si>
    <t xml:space="preserve">Miami (ciudad)</t>
  </si>
  <si>
    <t xml:space="preserve">Allapattah</t>
  </si>
  <si>
    <t xml:space="preserve">Mayorista frutas y verduras</t>
  </si>
  <si>
    <t xml:space="preserve">Fundada 1990; sin Facebook propio</t>
  </si>
  <si>
    <t xml:space="preserve">https://www.bbb.org/us/fl/miami/profile/organic-food/brothers-produce-inc-0633-90067698</t>
  </si>
  <si>
    <t xml:space="preserve">2140 NW 23rd St, Miami, FL 33142</t>
  </si>
  <si>
    <t xml:space="preserve">(305) 325-9382</t>
  </si>
  <si>
    <t xml:space="preserve">brothersproduce.com</t>
  </si>
  <si>
    <t xml:space="preserve">https://www.yelp.com/biz/brothers-produce-miami</t>
  </si>
  <si>
    <t xml:space="preserve">https://www.yellowpages.com/miami-fl/mip/brothers-produce-inc-566403749</t>
  </si>
  <si>
    <t xml:space="preserve">P043</t>
  </si>
  <si>
    <t xml:space="preserve">4 U Unlimited</t>
  </si>
  <si>
    <t xml:space="preserve">https://www.yelp.com/biz/4-u-unlimited-miami</t>
  </si>
  <si>
    <t xml:space="preserve">2245 NW 20th St, Miami, FL 33142</t>
  </si>
  <si>
    <t xml:space="preserve">(305) 636-0803</t>
  </si>
  <si>
    <t xml:space="preserve">https://www.yellowpages.com/miami-fl/mip/4-u-unlimited-6865283</t>
  </si>
  <si>
    <t xml:space="preserve">web/Facebook de 4U Hair Unlimited sin confirmar que sea la misma empresa</t>
  </si>
  <si>
    <t xml:space="preserve">P044</t>
  </si>
  <si>
    <t xml:space="preserve">Excellent Fruit &amp; Produce Inc</t>
  </si>
  <si>
    <t xml:space="preserve">Facebook; Instagram; LinkedIn; Yelp</t>
  </si>
  <si>
    <t xml:space="preserve">Almacén refrigerado y flota propia</t>
  </si>
  <si>
    <t xml:space="preserve">https://excellentfruitandproduce.com/about-us/</t>
  </si>
  <si>
    <t xml:space="preserve">3600 NW 41st St, Miami, FL 33142</t>
  </si>
  <si>
    <t xml:space="preserve">(305) 637-2767</t>
  </si>
  <si>
    <t xml:space="preserve">excellentfruitandproduce.com</t>
  </si>
  <si>
    <t xml:space="preserve">https://www.facebook.com/excellentfruitandproduce/</t>
  </si>
  <si>
    <t xml:space="preserve">https://www.instagram.com/excellent_fruit_and_produce/</t>
  </si>
  <si>
    <t xml:space="preserve">https://www.linkedin.com/company/excellent-fruit-&amp;-produce</t>
  </si>
  <si>
    <t xml:space="preserve">https://www.yelp.com/biz/excellent-fruit-and-produce-miami</t>
  </si>
  <si>
    <t xml:space="preserve">https://excellentfruitandproduce.com/contact/</t>
  </si>
  <si>
    <t xml:space="preserve">P045</t>
  </si>
  <si>
    <t xml:space="preserve">Martinez Distributors Inc</t>
  </si>
  <si>
    <t xml:space="preserve">Mayorista carnes y mariscos</t>
  </si>
  <si>
    <t xml:space="preserve">Desde 1997, 3 tiendas, planta USDA</t>
  </si>
  <si>
    <t xml:space="preserve">https://www.yelp.com/biz/martinez-distributors-miami-2</t>
  </si>
  <si>
    <t xml:space="preserve">7379 NW 31st St, Miami, FL 33122</t>
  </si>
  <si>
    <t xml:space="preserve">(305) 882-8282</t>
  </si>
  <si>
    <t xml:space="preserve">mdist.us</t>
  </si>
  <si>
    <t xml:space="preserve">https://www.facebook.com/MartinezDistributors/</t>
  </si>
  <si>
    <t xml:space="preserve">https://www.mdist.us/contact</t>
  </si>
  <si>
    <t xml:space="preserve">P046</t>
  </si>
  <si>
    <t xml:space="preserve">El Rey de las Fritas</t>
  </si>
  <si>
    <t xml:space="preserve">Little Havana</t>
  </si>
  <si>
    <t xml:space="preserve">Restaurante</t>
  </si>
  <si>
    <t xml:space="preserve">72</t>
  </si>
  <si>
    <t xml:space="preserve">72 Restaurantes/hotelería</t>
  </si>
  <si>
    <t xml:space="preserve">Cadena local desde 1982</t>
  </si>
  <si>
    <t xml:space="preserve">https://www.facebook.com/reydelasfritas/</t>
  </si>
  <si>
    <t xml:space="preserve">1821 SW 8th St, Miami, FL 33135</t>
  </si>
  <si>
    <t xml:space="preserve">(305) 644-6054</t>
  </si>
  <si>
    <t xml:space="preserve">elreydelasfritas.com</t>
  </si>
  <si>
    <t xml:space="preserve">https://www.instagram.com/reydelasfritas/</t>
  </si>
  <si>
    <t xml:space="preserve">https://www.yelp.com/biz/el-rey-de-las-fritas-miami</t>
  </si>
  <si>
    <t xml:space="preserve">https://www.elreydelasfritas.com/contact</t>
  </si>
  <si>
    <t xml:space="preserve">varias sedes</t>
  </si>
  <si>
    <t xml:space="preserve">Restaurantes</t>
  </si>
  <si>
    <t xml:space="preserve">P047</t>
  </si>
  <si>
    <t xml:space="preserve">El Exquisito Restaurant</t>
  </si>
  <si>
    <t xml:space="preserve">Familia Coro desde 1974 en Calle Ocho</t>
  </si>
  <si>
    <t xml:space="preserve">https://www.neighborhoods.com/blog/cuban-restaurants-in-little-havana-you-cant-miss</t>
  </si>
  <si>
    <t xml:space="preserve">1510 SW 8th St, Miami, FL</t>
  </si>
  <si>
    <t xml:space="preserve">(305) 643-0227</t>
  </si>
  <si>
    <t xml:space="preserve">elexquisitolittlehavana.com</t>
  </si>
  <si>
    <t xml:space="preserve">https://www.facebook.com/exquisitomiami/</t>
  </si>
  <si>
    <t xml:space="preserve">https://www.yelp.com/biz/el-exquisito-miami-2</t>
  </si>
  <si>
    <t xml:space="preserve">https://www.tripadvisor.com/Restaurant_Review-g34438-d34598756-Reviews-El_Exquisito-Miami_Florida.html</t>
  </si>
  <si>
    <t xml:space="preserve">posible cerrado o reabierto (Yelp CLOSED, ficha nueva en TripAdvisor)</t>
  </si>
  <si>
    <t xml:space="preserve">P048</t>
  </si>
  <si>
    <t xml:space="preserve">Kendale Air Conditioning Inc</t>
  </si>
  <si>
    <t xml:space="preserve">Kendall</t>
  </si>
  <si>
    <t xml:space="preserve">HVAC</t>
  </si>
  <si>
    <t xml:space="preserve">Desde 1988; BBB 2014</t>
  </si>
  <si>
    <t xml:space="preserve">https://www.bbb.org/us/fl/miami/profile/heating-and-air-conditioning/kendale-air-conditioning-0633-23009691</t>
  </si>
  <si>
    <t xml:space="preserve">11921 SW 130th St, Ste 403, Miami, FL 33186</t>
  </si>
  <si>
    <t xml:space="preserve">(305) 232-3000</t>
  </si>
  <si>
    <t xml:space="preserve">kendaleair.com</t>
  </si>
  <si>
    <t xml:space="preserve">https://www.facebook.com/air.repair.miami/</t>
  </si>
  <si>
    <t xml:space="preserve">https://www.linkedin.com/company/kendale-air-conditioning</t>
  </si>
  <si>
    <t xml:space="preserve">https://www.yelp.com/biz/kendale-air-conditioning-miami</t>
  </si>
  <si>
    <t xml:space="preserve">P049</t>
  </si>
  <si>
    <t xml:space="preserve">Kendall South Medical Center Inc</t>
  </si>
  <si>
    <t xml:space="preserve">Clínica médica</t>
  </si>
  <si>
    <t xml:space="preserve">Solo directorio WebMD</t>
  </si>
  <si>
    <t xml:space="preserve">https://doctor.webmd.com/practice/kendall-south-medical-center-inc-422a0a48-1a37-46b1-973c-95ba062d11e3</t>
  </si>
  <si>
    <t xml:space="preserve">14740 SW 26th St Ste 107, Miami, FL 33185</t>
  </si>
  <si>
    <t xml:space="preserve">(305) 388-1118</t>
  </si>
  <si>
    <t xml:space="preserve">https://www.facebook.com/KendallSouthMedicalCenter/</t>
  </si>
  <si>
    <t xml:space="preserve">https://www.linkedin.com/company/kendall-south-medical-center-inc</t>
  </si>
  <si>
    <t xml:space="preserve">https://www.yelp.com/biz/kendall-south-medical-center-miami</t>
  </si>
  <si>
    <t xml:space="preserve">https://www.healthgrades.com/group-directory/fl-florida/miami/kendall-south-medical-centre-xtjrlc</t>
  </si>
  <si>
    <t xml:space="preserve">web propia no encontrada</t>
  </si>
  <si>
    <t xml:space="preserve">Salud médica</t>
  </si>
  <si>
    <t xml:space="preserve">P050</t>
  </si>
  <si>
    <t xml:space="preserve">Kendall Medical Center Inc</t>
  </si>
  <si>
    <t xml:space="preserve">https://doctor.webmd.com/practice/kendall-medical-center-inc-773643c8-4703-e211-a42b-001f29e3eb44-physicians/alpha/all</t>
  </si>
  <si>
    <t xml:space="preserve">11120 SW 88th St Ste 100, Miami, FL 33176</t>
  </si>
  <si>
    <t xml:space="preserve">(305) 279-0808</t>
  </si>
  <si>
    <t xml:space="preserve">https://www.yelp.com/biz/kendall-medical-center-miami</t>
  </si>
  <si>
    <t xml:space="preserve">https://www.healthgrades.com/group-directory/fl-florida/miami/kendall-medical-center-x8lgvn</t>
  </si>
  <si>
    <t xml:space="preserve">web no encontrada; no confundir con HCA Kendall Hospital</t>
  </si>
  <si>
    <t xml:space="preserve">P051</t>
  </si>
  <si>
    <t xml:space="preserve">Krome Auto and Tire Inc</t>
  </si>
  <si>
    <t xml:space="preserve">Automotriz - taller/llantas</t>
  </si>
  <si>
    <t xml:space="preserve">Fundada 1992; 38 reseñas</t>
  </si>
  <si>
    <t xml:space="preserve">https://www.bbb.org/us/fl/homestead/profile/auto-repair/krome-auto-tire-svc-0633-90269976</t>
  </si>
  <si>
    <t xml:space="preserve">226 S Krome Ave, Homestead, FL 33030</t>
  </si>
  <si>
    <t xml:space="preserve">(305) 247-2008</t>
  </si>
  <si>
    <t xml:space="preserve">https://www.yelp.com/biz/krome-auto-and-tire-homestead</t>
  </si>
  <si>
    <t xml:space="preserve">web no encontrada en esta búsqueda (el estudio previo listaba kromeauto.com)</t>
  </si>
  <si>
    <t xml:space="preserve">P052</t>
  </si>
  <si>
    <t xml:space="preserve">R Plants Inc</t>
  </si>
  <si>
    <t xml:space="preserve">Vivero mayorista</t>
  </si>
  <si>
    <t xml:space="preserve">11</t>
  </si>
  <si>
    <t xml:space="preserve">11 Agricultura/viveros</t>
  </si>
  <si>
    <t xml:space="preserve">Est. 1997, 180+ acres</t>
  </si>
  <si>
    <t xml:space="preserve">https://www.facebook.com/rplantsinc/</t>
  </si>
  <si>
    <t xml:space="preserve">16455 SW 264th St, Homestead, FL 33031</t>
  </si>
  <si>
    <t xml:space="preserve">(305) 257-9883</t>
  </si>
  <si>
    <t xml:space="preserve">rplantsinc.com</t>
  </si>
  <si>
    <t xml:space="preserve">https://www.yelp.com/biz/r-plants-homestead-2</t>
  </si>
  <si>
    <t xml:space="preserve">https://www.rplantsinc.com/contact</t>
  </si>
  <si>
    <t xml:space="preserve">Agricultura y viveros</t>
  </si>
  <si>
    <t xml:space="preserve">P053</t>
  </si>
  <si>
    <t xml:space="preserve">Liner Growers Nursery</t>
  </si>
  <si>
    <t xml:space="preserve">Solo Manta; 10+ años</t>
  </si>
  <si>
    <t xml:space="preserve">https://www.manta.com/c/mvvd9cj/liner-growers-nursery</t>
  </si>
  <si>
    <t xml:space="preserve">14400 SW 248th St, Homestead, FL 33032</t>
  </si>
  <si>
    <t xml:space="preserve">(786) 624-1868</t>
  </si>
  <si>
    <t xml:space="preserve">linergrowers.com</t>
  </si>
  <si>
    <t xml:space="preserve">https://www.facebook.com/p/Liner-Growers-Nursery-100064570097118/</t>
  </si>
  <si>
    <t xml:space="preserve">https://www.yelp.com/biz/liner-growers-nursery-homestead-3</t>
  </si>
  <si>
    <t xml:space="preserve">https://www.yellowpages.com/homestead-fl/mip/liner-growers-nursery-459005189</t>
  </si>
  <si>
    <t xml:space="preserve">P054</t>
  </si>
  <si>
    <t xml:space="preserve">Manuel Diaz Farms Inc</t>
  </si>
  <si>
    <t xml:space="preserve">Categoría Wholesale Nurseries Manta</t>
  </si>
  <si>
    <t xml:space="preserve">https://www.manta.com/mb_55_B80C105M_345/nursery_stock/homestead_fl</t>
  </si>
  <si>
    <t xml:space="preserve">26401 SW 107th Ave, Homestead, FL 33032</t>
  </si>
  <si>
    <t xml:space="preserve">(305) 258-8440</t>
  </si>
  <si>
    <t xml:space="preserve">manueldiazfarms.com</t>
  </si>
  <si>
    <t xml:space="preserve">https://www.facebook.com/p/Manuel-Diaz-Farms-100068054691116/</t>
  </si>
  <si>
    <t xml:space="preserve">https://www.manueldiazfarms.com/contact-us/</t>
  </si>
  <si>
    <t xml:space="preserve">P055</t>
  </si>
  <si>
    <t xml:space="preserve">Quality Growers Inc</t>
  </si>
  <si>
    <t xml:space="preserve">18455 SW 284th St, Homestead, FL 33030</t>
  </si>
  <si>
    <t xml:space="preserve">(305) 248-7164</t>
  </si>
  <si>
    <t xml:space="preserve">https://www.facebook.com/QualityGrowersInc/</t>
  </si>
  <si>
    <t xml:space="preserve">https://www.yellowpages.com/homestead-fl/mip/quality-growers-inc-13649572</t>
  </si>
  <si>
    <t xml:space="preserve">P056</t>
  </si>
  <si>
    <t xml:space="preserve">Medallion Nurseries</t>
  </si>
  <si>
    <t xml:space="preserve">27805 SW 197th Ave, Homestead, FL 33031</t>
  </si>
  <si>
    <t xml:space="preserve">(305) 242-0970</t>
  </si>
  <si>
    <t xml:space="preserve">medalliontrees.com</t>
  </si>
  <si>
    <t xml:space="preserve">https://www.yelp.com/biz/medallion-trees-farms-homestead</t>
  </si>
  <si>
    <t xml:space="preserve">posible cerrado (Yelp CLOSED; figura como Medallion Trees Farms)</t>
  </si>
  <si>
    <t xml:space="preserve">P057</t>
  </si>
  <si>
    <t xml:space="preserve">Sam S. Accursio &amp; Sons Farms</t>
  </si>
  <si>
    <t xml:space="preserve">Agricultura/empacadora</t>
  </si>
  <si>
    <t xml:space="preserve">Desde 1948, empacadora propia</t>
  </si>
  <si>
    <t xml:space="preserve">https://ediblesouthflorida.ediblecommunities.com/eat/fresh-demand-local-produce-longtime-homestead-farm/</t>
  </si>
  <si>
    <t xml:space="preserve">1225 NW 2nd St, Homestead, FL 33030</t>
  </si>
  <si>
    <t xml:space="preserve">(305) 246-3455</t>
  </si>
  <si>
    <t xml:space="preserve">https://www.bbb.org/us/fl/homestead/profile/farm/sam-s-accursio-and-sons-farms-inc-0633-92023619</t>
  </si>
  <si>
    <t xml:space="preserve">P058</t>
  </si>
  <si>
    <t xml:space="preserve">Sudsies Dry Cleaners</t>
  </si>
  <si>
    <t xml:space="preserve">Miami Beach</t>
  </si>
  <si>
    <t xml:space="preserve">Tintorería</t>
  </si>
  <si>
    <t xml:space="preserve">Est. 1996; 244 reseñas Yelp</t>
  </si>
  <si>
    <t xml:space="preserve">https://www.yelp.com/biz/sudsies-dry-cleaners-miami-beach</t>
  </si>
  <si>
    <t xml:space="preserve">6786 Collins Ave, Miami Beach, FL 33141</t>
  </si>
  <si>
    <t xml:space="preserve">(305) 864-3279</t>
  </si>
  <si>
    <t xml:space="preserve">sudsies.com</t>
  </si>
  <si>
    <t xml:space="preserve">https://www.facebook.com/SudsiesDryCleanersMiamiBeachBoutique/</t>
  </si>
  <si>
    <t xml:space="preserve">cadena con varias sedes</t>
  </si>
  <si>
    <t xml:space="preserve">Tintorerías y lavanderías</t>
  </si>
  <si>
    <t xml:space="preserve">P059</t>
  </si>
  <si>
    <t xml:space="preserve">Complete Yacht Service</t>
  </si>
  <si>
    <t xml:space="preserve">Fort Lauderdale</t>
  </si>
  <si>
    <t xml:space="preserve">Náutico - motores/partes y servicio</t>
  </si>
  <si>
    <t xml:space="preserve">Est. 1976, ~6 empleados, ~$1.3M ventas (Manta); búsqueda por nombre solo devuelve Facebook/Yelp | Forma legal fuente: Inc (Manta; no verificado en Sunbiz)</t>
  </si>
  <si>
    <t xml:space="preserve">https://www.yelp.com/biz/complete-yacht-service-fort-lauderdale</t>
  </si>
  <si>
    <t xml:space="preserve">200 SW 33rd St, Fort Lauderdale, FL 33315</t>
  </si>
  <si>
    <t xml:space="preserve">(954) 462-6977</t>
  </si>
  <si>
    <t xml:space="preserve">https://www.facebook.com/p/Complete-Yacht-Service-100063575679442/</t>
  </si>
  <si>
    <t xml:space="preserve">Náutico</t>
  </si>
  <si>
    <t xml:space="preserve">P060</t>
  </si>
  <si>
    <t xml:space="preserve">Superior Stainless &amp; Yacht Repair</t>
  </si>
  <si>
    <t xml:space="preserve">Náutico - soldadura/inox yates</t>
  </si>
  <si>
    <t xml:space="preserve">BBB A+, desde 1993; solo directorios</t>
  </si>
  <si>
    <t xml:space="preserve">https://www.bbb.org/us/fl/ft-lauderdale/profile/boat-repair/superior-stainless-yacht-repair-0633-11011513</t>
  </si>
  <si>
    <t xml:space="preserve">212 SW 30th St, Fort Lauderdale, FL 33315</t>
  </si>
  <si>
    <t xml:space="preserve">(954) 525-8752</t>
  </si>
  <si>
    <t xml:space="preserve">https://www.facebook.com/p/Superior-Stainless-100069480037926/</t>
  </si>
  <si>
    <t xml:space="preserve">web no encontrada; teléfono de directorio secundario</t>
  </si>
  <si>
    <t xml:space="preserve">P061</t>
  </si>
  <si>
    <t xml:space="preserve">Top Quality Yachts Refinishing &amp; Refurbishing</t>
  </si>
  <si>
    <t xml:space="preserve">Náutico - pintura/refinish yates</t>
  </si>
  <si>
    <t xml:space="preserve">BBB, desde 1999; búsqueda por nombre solo devuelve BBB</t>
  </si>
  <si>
    <t xml:space="preserve">https://www.bbb.org/us/fl/fort-lauderdale/profile/boat-repair/top-quality-yachts-refinishing-refurbishing-0633-4006026</t>
  </si>
  <si>
    <t xml:space="preserve">1513 SW 18th Ave, Fort Lauderdale, FL 33312</t>
  </si>
  <si>
    <t xml:space="preserve">web no encontrada; teléfono no encontrado (solo fax)</t>
  </si>
  <si>
    <t xml:space="preserve">P062</t>
  </si>
  <si>
    <t xml:space="preserve">Complete Yacht Care Inc</t>
  </si>
  <si>
    <t xml:space="preserve">Náutico - mantenimiento yates</t>
  </si>
  <si>
    <t xml:space="preserve">Fundada 2006; solo Manta y D&amp;B</t>
  </si>
  <si>
    <t xml:space="preserve">https://www.manta.com/c/mmn3jvb/complete-yacht-care-inc</t>
  </si>
  <si>
    <t xml:space="preserve">6120 NW 32nd Ter, Fort Lauderdale, FL 33309</t>
  </si>
  <si>
    <t xml:space="preserve">(954) 600-6222</t>
  </si>
  <si>
    <t xml:space="preserve">https://www.yellowpages.com/fort-lauderdale-fl/mip/complete-yacht-care-inc-15318354</t>
  </si>
  <si>
    <t xml:space="preserve">P063</t>
  </si>
  <si>
    <t xml:space="preserve">Ship Side Service Inc</t>
  </si>
  <si>
    <t xml:space="preserve">Náutico - servicios a yates</t>
  </si>
  <si>
    <t xml:space="preserve">BBB A+, ~22 años; registro estatal muestra CANCEL ADM DISS/REV: verificar en Sunbiz | Forma legal fuente: Inc (posible Admin. Dissolved)</t>
  </si>
  <si>
    <t xml:space="preserve">https://www.bbb.org/us/fl/fort-lauderdale/profile/boat-repair/ship-side-service-0633-22003092</t>
  </si>
  <si>
    <t xml:space="preserve">757 SE 17th St #319, Fort Lauderdale, FL 33316</t>
  </si>
  <si>
    <t xml:space="preserve">(954) 791-3700</t>
  </si>
  <si>
    <t xml:space="preserve">https://www.yelp.com/biz/boatside-services-fort-lauderdale</t>
  </si>
  <si>
    <t xml:space="preserve">https://www.buzzfile.com/business/Boatside-Services-954-791-3700</t>
  </si>
  <si>
    <t xml:space="preserve">opera como Boatside Services (posible DBA)</t>
  </si>
  <si>
    <t xml:space="preserve">P064</t>
  </si>
  <si>
    <t xml:space="preserve">Shoreline Marine LLC</t>
  </si>
  <si>
    <t xml:space="preserve">Pompano Beach</t>
  </si>
  <si>
    <t xml:space="preserve">Náutico - reparación/refit</t>
  </si>
  <si>
    <t xml:space="preserve">Desde 2014; ficha Yelp no reclamada | Forma legal fuente: LLC (BBB)</t>
  </si>
  <si>
    <t xml:space="preserve">https://www.yelp.com/biz/shoreline-marine-pompano-beach</t>
  </si>
  <si>
    <t xml:space="preserve">1680 SW 2nd Ave, Pompano Beach, FL 33060</t>
  </si>
  <si>
    <t xml:space="preserve">(954) 770-5938</t>
  </si>
  <si>
    <t xml:space="preserve">https://www.bbb.org/us/fl/pompano-beach/profile/boat-repair/shoreline-marine-llc-0633-92014132</t>
  </si>
  <si>
    <t xml:space="preserve">P065</t>
  </si>
  <si>
    <t xml:space="preserve">Yacht Mechanics of Florida</t>
  </si>
  <si>
    <t xml:space="preserve">Náutico - mecánica/hidráulica</t>
  </si>
  <si>
    <t xml:space="preserve">42 años; sitio básico + página Genially: candidato a rediseño</t>
  </si>
  <si>
    <t xml:space="preserve">https://www.yelp.com/biz/yacht-mechanics-of-florida-fort-lauderdale</t>
  </si>
  <si>
    <t xml:space="preserve">(954) 867-6763</t>
  </si>
  <si>
    <t xml:space="preserve">yachtmechanicsofflorida.com</t>
  </si>
  <si>
    <t xml:space="preserve">https://www.facebook.com/p/Yacht-Mechanics-of-Florida-100069725744805/</t>
  </si>
  <si>
    <t xml:space="preserve">https://yachtmechanicsofflorida.com/contact</t>
  </si>
  <si>
    <t xml:space="preserve">servicio móvil; dirección omitida (posible residencia)</t>
  </si>
  <si>
    <t xml:space="preserve">P066</t>
  </si>
  <si>
    <t xml:space="preserve">Land &amp; Sea Air Conditioning of South Florida Inc</t>
  </si>
  <si>
    <t xml:space="preserve">Davie</t>
  </si>
  <si>
    <t xml:space="preserve">Desde 2008; solo directorios y Facebook</t>
  </si>
  <si>
    <t xml:space="preserve">https://www.manta.com/c/mb5d3rb/land-sea-air-conditioning-of</t>
  </si>
  <si>
    <t xml:space="preserve">14081 Langley Pl, Davie, FL 33325</t>
  </si>
  <si>
    <t xml:space="preserve">(954) 748-6719</t>
  </si>
  <si>
    <t xml:space="preserve">https://www.facebook.com/landandseaac/</t>
  </si>
  <si>
    <t xml:space="preserve">https://www.thebluebook.com/iProView/968217/land-sea-air-cond-of-s-florida-inc/subcontractors/locations-contacts/</t>
  </si>
  <si>
    <t xml:space="preserve">web no encontrada; Facebook por confirmar</t>
  </si>
  <si>
    <t xml:space="preserve">P067</t>
  </si>
  <si>
    <t xml:space="preserve">Million Air Conditioning Corp</t>
  </si>
  <si>
    <t xml:space="preserve">Est. 2006, ~3 empleados; contratista certificado DBPR</t>
  </si>
  <si>
    <t xml:space="preserve">https://www.manta.com/c/mmym5vw/million-air-conditioning-corporation</t>
  </si>
  <si>
    <t xml:space="preserve">13762 State Rd 84 #245, Davie, FL 33325</t>
  </si>
  <si>
    <t xml:space="preserve">(954) 474-5923</t>
  </si>
  <si>
    <t xml:space="preserve">https://www.yellowpages.com/davie-fl/million-air-conditioning-corp</t>
  </si>
  <si>
    <t xml:space="preserve">web no encontrada; dirección postal; teléfono de confianza baja</t>
  </si>
  <si>
    <t xml:space="preserve">P068</t>
  </si>
  <si>
    <t xml:space="preserve">First Class Air Conditioning &amp; Appliance Inc</t>
  </si>
  <si>
    <t xml:space="preserve">HVAC/electrodomésticos</t>
  </si>
  <si>
    <t xml:space="preserve">14+ años; fichas duplicadas, sin dominio propio claro</t>
  </si>
  <si>
    <t xml:space="preserve">https://www.bbb.org/us/fl/davie/profile/major-appliance-services/first-class-air-conditioning-appliance-inc-0633-90137525</t>
  </si>
  <si>
    <t xml:space="preserve">4450 SW 61st Ave Ste 6, Davie, FL 33314</t>
  </si>
  <si>
    <t xml:space="preserve">(954) 797-5921</t>
  </si>
  <si>
    <t xml:space="preserve">https://www.facebook.com/myfcaa/</t>
  </si>
  <si>
    <t xml:space="preserve">https://www.yelp.com/biz/first-class-appliances-davie-2</t>
  </si>
  <si>
    <t xml:space="preserve">https://citytocitymarket.com/first-class-appliances-davie</t>
  </si>
  <si>
    <t xml:space="preserve">posible cerrado: BBB indica 'out of business' en otra dirección</t>
  </si>
  <si>
    <t xml:space="preserve">P069</t>
  </si>
  <si>
    <t xml:space="preserve">Pompano Beach Texaco</t>
  </si>
  <si>
    <t xml:space="preserve">Automotriz - taller/estación</t>
  </si>
  <si>
    <t xml:space="preserve">BBB: desde 1987</t>
  </si>
  <si>
    <t xml:space="preserve">https://www.bbb.org/us/fl/pompano-beach/profile/auto-repair/pompano-beach-texaco-0633-35000319</t>
  </si>
  <si>
    <t xml:space="preserve">2798 E Atlantic Blvd, Pompano Beach, FL 33062</t>
  </si>
  <si>
    <t xml:space="preserve">(954) 941-2600</t>
  </si>
  <si>
    <t xml:space="preserve">https://www.yelp.com/biz/texaco-pompano-beach-pompano-beach</t>
  </si>
  <si>
    <t xml:space="preserve">posible cerrado (Yelp CLOSED en esa dirección)</t>
  </si>
  <si>
    <t xml:space="preserve">P070</t>
  </si>
  <si>
    <t xml:space="preserve">Our Shop Auto Repairs Inc</t>
  </si>
  <si>
    <t xml:space="preserve">Automotriz - taller</t>
  </si>
  <si>
    <t xml:space="preserve">Desde 2009; sitio .us básico y Facebook duplicado</t>
  </si>
  <si>
    <t xml:space="preserve">https://www.bbb.org/us/fl/pompano-beach/profile/mobile-auto-repair/our-shop-auto-repairs-inc-0633-90426905</t>
  </si>
  <si>
    <t xml:space="preserve">801 S Dixie Hwy E Ste 5, Pompano Beach, FL 33060</t>
  </si>
  <si>
    <t xml:space="preserve">(954) 788-7484</t>
  </si>
  <si>
    <t xml:space="preserve">https://www.facebook.com/ourshopautorepairs/</t>
  </si>
  <si>
    <t xml:space="preserve">https://www.instagram.com/ourshopautorepairsinc/</t>
  </si>
  <si>
    <t xml:space="preserve">https://www.yelp.com/biz/our-shop-pompano-beach</t>
  </si>
  <si>
    <t xml:space="preserve">https://www.yellowpages.com/pompano-beach-fl/mip/our-shop-auto-repairs-inc-454341308</t>
  </si>
  <si>
    <t xml:space="preserve">dos páginas de Facebook</t>
  </si>
  <si>
    <t xml:space="preserve">P071</t>
  </si>
  <si>
    <t xml:space="preserve">Fast Lane Auto Repairs</t>
  </si>
  <si>
    <t xml:space="preserve">Solo listado BBB</t>
  </si>
  <si>
    <t xml:space="preserve">https://www.bbb.org/us/fl/pompano-beach/profile/auto-repair/fast-lane-auto-repairs-0633-90409985</t>
  </si>
  <si>
    <t xml:space="preserve">1919 NW 21st St, Bldg B, Pompano Beach, FL 33069</t>
  </si>
  <si>
    <t xml:space="preserve">(954) 942-8920</t>
  </si>
  <si>
    <t xml:space="preserve">fastlaneauto1901.wixsite.com/fastlaneautoworks</t>
  </si>
  <si>
    <t xml:space="preserve">https://www.facebook.com/FastLaneAutoRepairs/</t>
  </si>
  <si>
    <t xml:space="preserve">https://www.yelp.com/biz/fast-lane-auto-repairs-pompano-beach</t>
  </si>
  <si>
    <t xml:space="preserve">web en subdominio Wix, sin dominio propio</t>
  </si>
  <si>
    <t xml:space="preserve">P072</t>
  </si>
  <si>
    <t xml:space="preserve">The Auto Spot</t>
  </si>
  <si>
    <t xml:space="preserve">https://www.bbb.org/us/fl/pompano-beach/profile/auto-repair/the-auto-spot-0633-90092971</t>
  </si>
  <si>
    <t xml:space="preserve">302 S Federal Hwy, Pompano Beach, FL 33062</t>
  </si>
  <si>
    <t xml:space="preserve">(954) 946-3380</t>
  </si>
  <si>
    <t xml:space="preserve">autospotfl.com</t>
  </si>
  <si>
    <t xml:space="preserve">https://www.yelp.com/biz/the-auto-spot-pompano-beach</t>
  </si>
  <si>
    <t xml:space="preserve">P073</t>
  </si>
  <si>
    <t xml:space="preserve">Original Look</t>
  </si>
  <si>
    <t xml:space="preserve">https://www.bbb.org/us/fl/pompano-beach/profile/auto-repair/original-look-0633-90132733</t>
  </si>
  <si>
    <t xml:space="preserve">1301 S Dixie Hwy E #C, Pompano Beach, FL 33060</t>
  </si>
  <si>
    <t xml:space="preserve">(954) 532-6639</t>
  </si>
  <si>
    <t xml:space="preserve">https://www.facebook.com/originallookautosales/</t>
  </si>
  <si>
    <t xml:space="preserve">https://www.yelp.com/biz/original-look-auto-sales-pompano-beach</t>
  </si>
  <si>
    <t xml:space="preserve">web no encontrada; redes de 'Original Look Auto Sales' (posible negocio relacionado)</t>
  </si>
  <si>
    <t xml:space="preserve">P074</t>
  </si>
  <si>
    <t xml:space="preserve">Marina Road Boat Yard</t>
  </si>
  <si>
    <t xml:space="preserve">Náutico - boatyard</t>
  </si>
  <si>
    <t xml:space="preserve">Listado Manta</t>
  </si>
  <si>
    <t xml:space="preserve">https://www.manta.com/c/mh1g76d/marina-road-boat-yard</t>
  </si>
  <si>
    <t xml:space="preserve">3000 W State Road 84, Fort Lauderdale, FL 33312</t>
  </si>
  <si>
    <t xml:space="preserve">(954) 321-1010</t>
  </si>
  <si>
    <t xml:space="preserve">marinaroadboatyard.com</t>
  </si>
  <si>
    <t xml:space="preserve">https://www.facebook.com/MarinaRoadBoatYard/</t>
  </si>
  <si>
    <t xml:space="preserve">https://www.instagram.com/marinaroadboatyard/</t>
  </si>
  <si>
    <t xml:space="preserve">https://www.yelp.com/biz/aqua-marina-marina-road-fort-lauderdale</t>
  </si>
  <si>
    <t xml:space="preserve">https://marinas.com/view/marina/x1cx3d_Marina_Road_Boat_Yard_Fort_Lauderdale_FL_United_States</t>
  </si>
  <si>
    <t xml:space="preserve">en Yelp como Aqua Marina Marina Road</t>
  </si>
  <si>
    <t xml:space="preserve">P075</t>
  </si>
  <si>
    <t xml:space="preserve">Yachting Bliss</t>
  </si>
  <si>
    <t xml:space="preserve">Náutico - reparación</t>
  </si>
  <si>
    <t xml:space="preserve">https://www.manta.com/c/mm0jvj4/yachting-bliss</t>
  </si>
  <si>
    <t xml:space="preserve">101 N Riverside Dr Suite 116, Pompano Beach, FL 33062</t>
  </si>
  <si>
    <t xml:space="preserve">(954) 782-1044</t>
  </si>
  <si>
    <t xml:space="preserve">yachtingbliss.com</t>
  </si>
  <si>
    <t xml:space="preserve">https://www.facebook.com/p/Yachting-Bliss-100057535448086/</t>
  </si>
  <si>
    <t xml:space="preserve">https://www.yelp.com/biz/yachting-bliss-pompano-beach</t>
  </si>
  <si>
    <t xml:space="preserve">https://yachtingbliss.com/contact-us.php</t>
  </si>
  <si>
    <t xml:space="preserve">P076</t>
  </si>
  <si>
    <t xml:space="preserve">Elite Yachting Solutions LLC</t>
  </si>
  <si>
    <t xml:space="preserve">Náutico - servicios</t>
  </si>
  <si>
    <t xml:space="preserve">https://www.manta.com/c/mkhwx2k/elite-yachting-solutions-llc</t>
  </si>
  <si>
    <t xml:space="preserve">(954) 258-8322</t>
  </si>
  <si>
    <t xml:space="preserve">eliteyachtingsolutions.com</t>
  </si>
  <si>
    <t xml:space="preserve">https://www.eliteyachtingsolutions.com/contact-us/</t>
  </si>
  <si>
    <t xml:space="preserve">dirección omitida (posible residencia)</t>
  </si>
  <si>
    <t xml:space="preserve">P077</t>
  </si>
  <si>
    <t xml:space="preserve">S.A. Marine Services LLC</t>
  </si>
  <si>
    <t xml:space="preserve">Náutico - boat lifts</t>
  </si>
  <si>
    <t xml:space="preserve">Boat lifts en Palm Beach, Broward y Miami-Dade</t>
  </si>
  <si>
    <t xml:space="preserve">https://www.manta.com/c/m1xl2v5/s-a-marine-services-llc</t>
  </si>
  <si>
    <t xml:space="preserve">479 S Flagler Ave #62-63, Pompano Beach, FL 33060</t>
  </si>
  <si>
    <t xml:space="preserve">(754) 444-9519</t>
  </si>
  <si>
    <t xml:space="preserve">samarineservices.com</t>
  </si>
  <si>
    <t xml:space="preserve">https://www.facebook.com/samarineservices/</t>
  </si>
  <si>
    <t xml:space="preserve">https://www.yelp.com/biz/s-a-marine-services-pompano-beach</t>
  </si>
  <si>
    <t xml:space="preserve">P078</t>
  </si>
  <si>
    <t xml:space="preserve">All Power Marine Boat Lifts &amp; Docks</t>
  </si>
  <si>
    <t xml:space="preserve">Náutico - lifts/docks</t>
  </si>
  <si>
    <t xml:space="preserve">https://www.manta.com/c/mm7f0xx/all-power-marine-boat-lifts-docks</t>
  </si>
  <si>
    <t xml:space="preserve">3408 Spring St #1, Pompano Beach, FL 33062</t>
  </si>
  <si>
    <t xml:space="preserve">(954) 632-1051</t>
  </si>
  <si>
    <t xml:space="preserve">marineboatlifts.com</t>
  </si>
  <si>
    <t xml:space="preserve">https://www.yelp.com/biz/all-power-marine-boatlifts-and-docks-pompano-beach</t>
  </si>
  <si>
    <t xml:space="preserve">https://marineboatlifts.com/about/contact/</t>
  </si>
  <si>
    <t xml:space="preserve">varias direcciones en directorios</t>
  </si>
  <si>
    <t xml:space="preserve">P079</t>
  </si>
  <si>
    <t xml:space="preserve">T&amp;D Air Conditioning Inc</t>
  </si>
  <si>
    <t xml:space="preserve">Manta: 30+ años</t>
  </si>
  <si>
    <t xml:space="preserve">https://www.manta.com/c/mr4tgvc/t-d-air-conditioning-inc</t>
  </si>
  <si>
    <t xml:space="preserve">4121 SW 47th Ave Ste 1329, Davie, FL 33314</t>
  </si>
  <si>
    <t xml:space="preserve">(954) 321-1383</t>
  </si>
  <si>
    <t xml:space="preserve">tdairconditioning.com</t>
  </si>
  <si>
    <t xml:space="preserve">https://www.instagram.com/tdairconditioning/</t>
  </si>
  <si>
    <t xml:space="preserve">https://www.yellowpages.com/davie-fl/mip/t-d-air-conditioning-inc-467300545</t>
  </si>
  <si>
    <t xml:space="preserve">P080</t>
  </si>
  <si>
    <t xml:space="preserve">CV AC Expert LLC</t>
  </si>
  <si>
    <t xml:space="preserve">https://www.manta.com/c/mhw02tp/cv-ac-expert-llc</t>
  </si>
  <si>
    <t xml:space="preserve">12850 W State Rd 84 #2-7, Davie, FL 33325</t>
  </si>
  <si>
    <t xml:space="preserve">(954) 505-9809</t>
  </si>
  <si>
    <t xml:space="preserve">cvacexpert.com</t>
  </si>
  <si>
    <t xml:space="preserve">https://www.yelp.com/biz/cvac-expert-davie</t>
  </si>
  <si>
    <t xml:space="preserve">https://cvacexpert.com/contact-us/</t>
  </si>
  <si>
    <t xml:space="preserve">P081</t>
  </si>
  <si>
    <t xml:space="preserve">Ocean Freight Link</t>
  </si>
  <si>
    <t xml:space="preserve">Miramar</t>
  </si>
  <si>
    <t xml:space="preserve">Manta: ~$2.5M ventas, ~6 empleados</t>
  </si>
  <si>
    <t xml:space="preserve">https://www.manta.com/c/mtq3wsd/ocean-freight-link</t>
  </si>
  <si>
    <t xml:space="preserve">3350 SW 148th Ave Suite 110, Miramar, FL 33027</t>
  </si>
  <si>
    <t xml:space="preserve">(954) 518-4972</t>
  </si>
  <si>
    <t xml:space="preserve">oceanfreightlink.com</t>
  </si>
  <si>
    <t xml:space="preserve">redes no encontradas</t>
  </si>
  <si>
    <t xml:space="preserve">P082</t>
  </si>
  <si>
    <t xml:space="preserve">Promptus LLC</t>
  </si>
  <si>
    <t xml:space="preserve">https://www.manta.com/c/mmfvqs5/promptus-llc</t>
  </si>
  <si>
    <t xml:space="preserve">3950 Executive Way, Miramar, FL 33025</t>
  </si>
  <si>
    <t xml:space="preserve">(305) 687-1405</t>
  </si>
  <si>
    <t xml:space="preserve">promptus.us</t>
  </si>
  <si>
    <t xml:space="preserve">https://www.facebook.com/Promptus.us/</t>
  </si>
  <si>
    <t xml:space="preserve">https://www.linkedin.com/company/promptus-llc</t>
  </si>
  <si>
    <t xml:space="preserve">https://www.yelp.com/biz/promptus-llc-miramar-8</t>
  </si>
  <si>
    <t xml:space="preserve">https://www.promptus.us/contact/</t>
  </si>
  <si>
    <t xml:space="preserve">P083</t>
  </si>
  <si>
    <t xml:space="preserve">R K A Xpress Inc</t>
  </si>
  <si>
    <t xml:space="preserve">https://www.manta.com/c/mtry58n/r-k-a-xpress-inc</t>
  </si>
  <si>
    <t xml:space="preserve">https://search.sunbiz.org/</t>
  </si>
  <si>
    <t xml:space="preserve">Disuelta en Sunbiz</t>
  </si>
  <si>
    <t xml:space="preserve">disuelta en Sunbiz 09/2017; dirección registrada parece residencial, omitida</t>
  </si>
  <si>
    <t xml:space="preserve">P084</t>
  </si>
  <si>
    <t xml:space="preserve">J J Freight Brokerage Inc</t>
  </si>
  <si>
    <t xml:space="preserve">Logística - broker de carga</t>
  </si>
  <si>
    <t xml:space="preserve">https://www.manta.com/c/mt4210t/j-j-freight-brokerage-inc</t>
  </si>
  <si>
    <t xml:space="preserve">no encontrado con certeza; BBB no pudo confirmar operación</t>
  </si>
  <si>
    <t xml:space="preserve">P085</t>
  </si>
  <si>
    <t xml:space="preserve">Markon Realty And Management Inc</t>
  </si>
  <si>
    <t xml:space="preserve">Sunrise</t>
  </si>
  <si>
    <t xml:space="preserve">Administración de propiedades</t>
  </si>
  <si>
    <t xml:space="preserve">53</t>
  </si>
  <si>
    <t xml:space="preserve">53 Inmobiliario/admin. propiedades</t>
  </si>
  <si>
    <t xml:space="preserve">Manta: est. 1990, ~11 empleados, ~$750k</t>
  </si>
  <si>
    <t xml:space="preserve">https://www.manta.com/c/mm08mz3/markon-realty-and-management-inc</t>
  </si>
  <si>
    <t xml:space="preserve">6531 Sunset Strip Ste 4, Sunrise, FL 33313</t>
  </si>
  <si>
    <t xml:space="preserve">(954) 741-1550</t>
  </si>
  <si>
    <t xml:space="preserve">https://www.linkedin.com/company/markon-realty-and-management-inc.</t>
  </si>
  <si>
    <t xml:space="preserve">https://www.yelp.com/biz/markon-realty-and-management-fort-lauderdale</t>
  </si>
  <si>
    <t xml:space="preserve">https://www.merchantcircle.com/markon-realty-and-management1-fort-lauderdale-fl</t>
  </si>
  <si>
    <t xml:space="preserve">Inmobiliario</t>
  </si>
  <si>
    <t xml:space="preserve">P086</t>
  </si>
  <si>
    <t xml:space="preserve">Three Js Management Corporation</t>
  </si>
  <si>
    <t xml:space="preserve">Manta: est. 2001, ~5 empleados</t>
  </si>
  <si>
    <t xml:space="preserve">https://www.manta.com/c/mw2lslb/three-js-management-corporation</t>
  </si>
  <si>
    <t xml:space="preserve">(954) 746-5770</t>
  </si>
  <si>
    <t xml:space="preserve">https://www.yelp.com/biz/three-js-management-sunrise</t>
  </si>
  <si>
    <t xml:space="preserve">https://www.yellowpages.com/sunrise-fl/mip/three-js-management-corp-451116974</t>
  </si>
  <si>
    <t xml:space="preserve">web no encontrada; dirección omitida (posible residencia)</t>
  </si>
  <si>
    <t xml:space="preserve">P087</t>
  </si>
  <si>
    <t xml:space="preserve">Lindsay-Taylor Property Management Inc</t>
  </si>
  <si>
    <t xml:space="preserve">Manta: est. 2015, ~7 empleados</t>
  </si>
  <si>
    <t xml:space="preserve">https://www.manta.com/c/mhkhbr0/lindsay-taylor-property-management-inc</t>
  </si>
  <si>
    <t xml:space="preserve">11110 W Oakland Park Blvd PMB 407, Sunrise, FL 33351</t>
  </si>
  <si>
    <t xml:space="preserve">(954) 747-3255</t>
  </si>
  <si>
    <t xml:space="preserve">ltproperties.net</t>
  </si>
  <si>
    <t xml:space="preserve">https://www.facebook.com/p/Lindsay-Taylor-Property-Management-100047539872968/</t>
  </si>
  <si>
    <t xml:space="preserve">https://www.bbb.org/us/fl/sunrise/profile/property-management/lindsay-taylor-property-management-inc-0633-92032382</t>
  </si>
  <si>
    <t xml:space="preserve">dirección es buzón PMB</t>
  </si>
  <si>
    <t xml:space="preserve">P088</t>
  </si>
  <si>
    <t xml:space="preserve">YMP Real Estate Management LLC</t>
  </si>
  <si>
    <t xml:space="preserve">Manta: est. 2015, ~2 empleados</t>
  </si>
  <si>
    <t xml:space="preserve">https://www.manta.com/c/mbybsr5/ymp-real-estate-management-llc</t>
  </si>
  <si>
    <t xml:space="preserve">3601 SW 160th Ave Ste 120, Miramar, FL 33027</t>
  </si>
  <si>
    <t xml:space="preserve">(305) 685-8059</t>
  </si>
  <si>
    <t xml:space="preserve">ymprealestate.com</t>
  </si>
  <si>
    <t xml:space="preserve">https://www.bbb.org/us/fl/lauderdale-lakes/profile/real-estate-investing/ymp-real-estate-management-llc-0633-90096264</t>
  </si>
  <si>
    <t xml:space="preserve">sede actual en Miramar</t>
  </si>
  <si>
    <t xml:space="preserve">P089</t>
  </si>
  <si>
    <t xml:space="preserve">Kryterion Property Services LLC</t>
  </si>
  <si>
    <t xml:space="preserve">https://www.manta.com/c/mkxpthn/kryterion-property-services-llc</t>
  </si>
  <si>
    <t xml:space="preserve">1560 Sawgrass Corporate Pkwy 4th Floor, Sunrise, FL 33323</t>
  </si>
  <si>
    <t xml:space="preserve">(954) 789-0449</t>
  </si>
  <si>
    <t xml:space="preserve">kryterionpropserv.com</t>
  </si>
  <si>
    <t xml:space="preserve">https://www.buzzfile.com/business/Kryterion-Property-Services-LLC-954-789-0449</t>
  </si>
  <si>
    <t xml:space="preserve">sin redes</t>
  </si>
  <si>
    <t xml:space="preserve">P090</t>
  </si>
  <si>
    <t xml:space="preserve">Lasseter Plumbing Company Inc</t>
  </si>
  <si>
    <t xml:space="preserve">North Miami</t>
  </si>
  <si>
    <t xml:space="preserve">Manta: ~$500k, ~7 empleados</t>
  </si>
  <si>
    <t xml:space="preserve">https://www.manta.com/d/mm2thx3/lasseter-plumbing-company-inc</t>
  </si>
  <si>
    <t xml:space="preserve">865 NE 130th St, North Miami, FL 33161</t>
  </si>
  <si>
    <t xml:space="preserve">(305) 893-7180</t>
  </si>
  <si>
    <t xml:space="preserve">lasseterplumbing.com</t>
  </si>
  <si>
    <t xml:space="preserve">https://www.facebook.com/p/Lasseter-Plumbing-Co-Inc-100069806585920/</t>
  </si>
  <si>
    <t xml:space="preserve">https://www.yelp.com/biz/lasseter-plumbing-north-miami</t>
  </si>
  <si>
    <t xml:space="preserve">P091</t>
  </si>
  <si>
    <t xml:space="preserve">Rocco Plumbing Inc</t>
  </si>
  <si>
    <t xml:space="preserve">Manta: est. 2008</t>
  </si>
  <si>
    <t xml:space="preserve">https://www.manta.com/c/mtbtgz9/rocco-plumbing-inc</t>
  </si>
  <si>
    <t xml:space="preserve">(786) 346-2176</t>
  </si>
  <si>
    <t xml:space="preserve">web no encontrada; dirección omitida (posible residencia); teléfono de confianza media</t>
  </si>
  <si>
    <t xml:space="preserve">P092</t>
  </si>
  <si>
    <t xml:space="preserve">Malu Plumbing Inc</t>
  </si>
  <si>
    <t xml:space="preserve">Manta: repiping, gas</t>
  </si>
  <si>
    <t xml:space="preserve">https://www.manta.com/c/mt4fd3r/malu-plumbing-inc</t>
  </si>
  <si>
    <t xml:space="preserve">4360 NW 192nd St, Miami Gardens, FL 33055</t>
  </si>
  <si>
    <t xml:space="preserve">(786) 383-8438</t>
  </si>
  <si>
    <t xml:space="preserve">maluplumbing.com</t>
  </si>
  <si>
    <t xml:space="preserve">https://www.yelp.com/biz/malu-plumbing-miami</t>
  </si>
  <si>
    <t xml:space="preserve">https://www.bbb.org/us/fl/miami-gardens/profile/plumbing-renovation/malu-plumbing-corp-0633-92034364</t>
  </si>
  <si>
    <t xml:space="preserve">P093</t>
  </si>
  <si>
    <t xml:space="preserve">Just Plumbing</t>
  </si>
  <si>
    <t xml:space="preserve">https://www.manta.com/c/mb04c42/just-plumbing</t>
  </si>
  <si>
    <t xml:space="preserve">no encontrado (los resultados eran de otra empresa)</t>
  </si>
  <si>
    <t xml:space="preserve">P094</t>
  </si>
  <si>
    <t xml:space="preserve">Plumbing Experts</t>
  </si>
  <si>
    <t xml:space="preserve">North Miami Beach</t>
  </si>
  <si>
    <t xml:space="preserve">https://www.manta.com/c/mttg4zn/plumbing-experts</t>
  </si>
  <si>
    <t xml:space="preserve">2101 NE 164th St, North Miami Beach, FL 33162</t>
  </si>
  <si>
    <t xml:space="preserve">(305) 947-9968</t>
  </si>
  <si>
    <t xml:space="preserve">https://www.facebook.com/plummmmbershere/</t>
  </si>
  <si>
    <t xml:space="preserve">https://m.yelp.com/biz/plumbing-experts-inc-north-miami-beach</t>
  </si>
  <si>
    <t xml:space="preserve">https://www.yellowpages.com/miami-fl/plumbing-experts-inc</t>
  </si>
  <si>
    <t xml:space="preserve">P095</t>
  </si>
  <si>
    <t xml:space="preserve">New England Plumbing</t>
  </si>
  <si>
    <t xml:space="preserve">Miami Shores</t>
  </si>
  <si>
    <t xml:space="preserve">https://www.manta.com/c/mx0vyzw/new-england-plumbing</t>
  </si>
  <si>
    <t xml:space="preserve">10055 Biscayne Blvd, Miami Shores, FL 33138</t>
  </si>
  <si>
    <t xml:space="preserve">(305) 861-1080</t>
  </si>
  <si>
    <t xml:space="preserve">miami-plumbers.com</t>
  </si>
  <si>
    <t xml:space="preserve">https://www.facebook.com/MiamiPlumbers/</t>
  </si>
  <si>
    <t xml:space="preserve">https://www.yelp.com/biz/new-england-plumbing-miami</t>
  </si>
  <si>
    <t xml:space="preserve">https://www.chamberofcommerce.com/business-directory/florida/miami-shores/plumber/47118209-new-england-plumbing</t>
  </si>
  <si>
    <t xml:space="preserve">P096</t>
  </si>
  <si>
    <t xml:space="preserve">Martin Accounting &amp; Tax Service</t>
  </si>
  <si>
    <t xml:space="preserve">Contabilidad, income tax y nómina</t>
  </si>
  <si>
    <t xml:space="preserve">54</t>
  </si>
  <si>
    <t xml:space="preserve">54 Servicios profesionales</t>
  </si>
  <si>
    <t xml:space="preserve">Manta: fundada en 2005, ~3 empleados; web solo por http</t>
  </si>
  <si>
    <t xml:space="preserve">https://www.manta.com/c/mmdzv4c/martin-accounting-tax-service</t>
  </si>
  <si>
    <t xml:space="preserve">7678 NW 186th St, Hialeah, FL 33015</t>
  </si>
  <si>
    <t xml:space="preserve">(305) 826-5886</t>
  </si>
  <si>
    <t xml:space="preserve">martinaccounting-tax.com</t>
  </si>
  <si>
    <t xml:space="preserve">https://www.yelp.com/biz/martin-accounting-and-tax-service-hialeah</t>
  </si>
  <si>
    <t xml:space="preserve">Legal y contable</t>
  </si>
  <si>
    <t xml:space="preserve">P097</t>
  </si>
  <si>
    <t xml:space="preserve">Zaidspiner Income Tax Service</t>
  </si>
  <si>
    <t xml:space="preserve">Preparación de impuestos</t>
  </si>
  <si>
    <t xml:space="preserve">Más de 40 años de experiencia; dos webs a la vez (Google Sites y dominio) y listados con nombres distintos</t>
  </si>
  <si>
    <t xml:space="preserve">https://www.manta.com/c/mhbyhd2/zaidspiner-income-tax-service</t>
  </si>
  <si>
    <t xml:space="preserve">7600 W 20th Ave Ste 223, Hialeah, FL 33016</t>
  </si>
  <si>
    <t xml:space="preserve">(305) 821-1455</t>
  </si>
  <si>
    <t xml:space="preserve">zaidspinerincometaxservice.com</t>
  </si>
  <si>
    <t xml:space="preserve">https://www.instagram.com/zaidspinerincometaxservices/</t>
  </si>
  <si>
    <t xml:space="preserve">dos webs</t>
  </si>
  <si>
    <t xml:space="preserve">P098</t>
  </si>
  <si>
    <t xml:space="preserve">Tax Recovery Services Inc</t>
  </si>
  <si>
    <t xml:space="preserve">Hollywood</t>
  </si>
  <si>
    <t xml:space="preserve">Contabilidad, impuestos y resolución IRS</t>
  </si>
  <si>
    <t xml:space="preserve">Manta: fundada en 2003, ~4 empleados; plantilla .php antigua sin https</t>
  </si>
  <si>
    <t xml:space="preserve">https://www.manta.com/c/mmld75y/tax-recovery-services</t>
  </si>
  <si>
    <t xml:space="preserve">2455 Hollywood Blvd, Hollywood, FL 33020</t>
  </si>
  <si>
    <t xml:space="preserve">(954) 921-1041</t>
  </si>
  <si>
    <t xml:space="preserve">tax-recovery-services.com</t>
  </si>
  <si>
    <t xml:space="preserve">http://www.tax-recovery-services.com/contact.php</t>
  </si>
  <si>
    <t xml:space="preserve">P099</t>
  </si>
  <si>
    <t xml:space="preserve">Miami Income Tax Corp</t>
  </si>
  <si>
    <t xml:space="preserve">Income tax, ITIN, nómina y notaría</t>
  </si>
  <si>
    <t xml:space="preserve">Fundada en 2013 (Sunbiz P13000058228); web propia + reservas en Square</t>
  </si>
  <si>
    <t xml:space="preserve">https://www.yelp.com/biz/miami-income-tax-miami</t>
  </si>
  <si>
    <t xml:space="preserve">13301 SW 132nd Ave Ste 212, Miami, FL 33186</t>
  </si>
  <si>
    <t xml:space="preserve">(786) 713-0399</t>
  </si>
  <si>
    <t xml:space="preserve">miamiincometax.com</t>
  </si>
  <si>
    <t xml:space="preserve">P100</t>
  </si>
  <si>
    <t xml:space="preserve">Rivas Immigration Law</t>
  </si>
  <si>
    <t xml:space="preserve">Bufete de inmigración</t>
  </si>
  <si>
    <t xml:space="preserve">Manta: fundado en 1998, 1-4 empleados; dos direcciones en Doral y teléfono de Orlando</t>
  </si>
  <si>
    <t xml:space="preserve">https://www.manta.com/c/mmfws9t/rivas-immigration-law</t>
  </si>
  <si>
    <t xml:space="preserve">8025 NW 36th St Ste 302, Doral, FL</t>
  </si>
  <si>
    <t xml:space="preserve">(407) 894-4449</t>
  </si>
  <si>
    <t xml:space="preserve">rivasimmigrationlaw.com</t>
  </si>
  <si>
    <t xml:space="preserve">dos direcciones</t>
  </si>
  <si>
    <t xml:space="preserve">P101</t>
  </si>
  <si>
    <t xml:space="preserve">Felix Pardo &amp; Associates Inc</t>
  </si>
  <si>
    <t xml:space="preserve">Coral Gables</t>
  </si>
  <si>
    <t xml:space="preserve">Arquitectura, interiores y planificación</t>
  </si>
  <si>
    <t xml:space="preserve">Manta: fundada en 1994; dos dominios y dos direcciones en Yelp</t>
  </si>
  <si>
    <t xml:space="preserve">https://www.manta.com/c/mr0zgqq/felix-pardo-architect-inc</t>
  </si>
  <si>
    <t xml:space="preserve">255 University Dr, Coral Gables, FL 33134</t>
  </si>
  <si>
    <t xml:space="preserve">(305) 445-4555</t>
  </si>
  <si>
    <t xml:space="preserve">fpadesign.com</t>
  </si>
  <si>
    <t xml:space="preserve">https://www.yelp.com/biz/felix-pardo-coral-gables</t>
  </si>
  <si>
    <t xml:space="preserve">Arquitectura e ingeniería</t>
  </si>
  <si>
    <t xml:space="preserve">P102</t>
  </si>
  <si>
    <t xml:space="preserve">Forbes Architects</t>
  </si>
  <si>
    <t xml:space="preserve">Arquitectura y construcción</t>
  </si>
  <si>
    <t xml:space="preserve">Instagram; LinkedIn; Yelp</t>
  </si>
  <si>
    <t xml:space="preserve">Fundada en 1985; 11-50 empleados</t>
  </si>
  <si>
    <t xml:space="preserve">https://www.manta.com/c/mmnsjmj/forbes-architects</t>
  </si>
  <si>
    <t xml:space="preserve">4565 Ponce De Leon Blvd, Coral Gables, FL 33146</t>
  </si>
  <si>
    <t xml:space="preserve">(305) 446-0849</t>
  </si>
  <si>
    <t xml:space="preserve">famiami.com</t>
  </si>
  <si>
    <t xml:space="preserve">https://www.instagram.com/forbesmiami/</t>
  </si>
  <si>
    <t xml:space="preserve">https://www.linkedin.com/company/forbes-architects</t>
  </si>
  <si>
    <t xml:space="preserve">https://www.yelp.com/biz/forbes-architects-coral-gables</t>
  </si>
  <si>
    <t xml:space="preserve">P103</t>
  </si>
  <si>
    <t xml:space="preserve">A &amp; D Animal Hospital Inc</t>
  </si>
  <si>
    <t xml:space="preserve">Clínica veterinaria y grooming</t>
  </si>
  <si>
    <t xml:space="preserve">Más de 23 años (fundada ~2002); Yelp muestra la misma dirección como 'Twins Animal Hospital'</t>
  </si>
  <si>
    <t xml:space="preserve">https://www.manta.com/c/mk2fx4l/a-d-animal-hospital-inc</t>
  </si>
  <si>
    <t xml:space="preserve">6985 W 12th Ave, Hialeah, FL 33014</t>
  </si>
  <si>
    <t xml:space="preserve">(786) 437-4700</t>
  </si>
  <si>
    <t xml:space="preserve">adanimalhospital.vet</t>
  </si>
  <si>
    <t xml:space="preserve">https://www.facebook.com/adanimalhospital/</t>
  </si>
  <si>
    <t xml:space="preserve">https://www.instagram.com/adanimalhospital/</t>
  </si>
  <si>
    <t xml:space="preserve">https://www.yelp.com/biz/twins-animal-hospital-hialeah</t>
  </si>
  <si>
    <t xml:space="preserve">veterinarians.com</t>
  </si>
  <si>
    <t xml:space="preserve">posible cambio de nombre</t>
  </si>
  <si>
    <t xml:space="preserve">Mascotas y veterinaria</t>
  </si>
  <si>
    <t xml:space="preserve">P104</t>
  </si>
  <si>
    <t xml:space="preserve">Farley Veterinary Clinic</t>
  </si>
  <si>
    <t xml:space="preserve">Clínica veterinaria</t>
  </si>
  <si>
    <t xml:space="preserve">Fundada en 1982; solo directorios; duplicada en Yelp</t>
  </si>
  <si>
    <t xml:space="preserve">https://www.manta.com/c/mtm56cl/farley-veterinary-clinic</t>
  </si>
  <si>
    <t xml:space="preserve">6487 Taft St, Hollywood, FL 33024</t>
  </si>
  <si>
    <t xml:space="preserve">(954) 989-5382</t>
  </si>
  <si>
    <t xml:space="preserve">https://www.yelp.com/biz/farley-veterinary-clinic-hollywood</t>
  </si>
  <si>
    <t xml:space="preserve">P105</t>
  </si>
  <si>
    <t xml:space="preserve">Montero Dental Center Inc</t>
  </si>
  <si>
    <t xml:space="preserve">Clínica dental general</t>
  </si>
  <si>
    <t xml:space="preserve">Manta: fundada en 2008; solo directorios</t>
  </si>
  <si>
    <t xml:space="preserve">https://www.manta.com/c/mtv988s/montero-dental-center</t>
  </si>
  <si>
    <t xml:space="preserve">568 Hialeah Dr, Hialeah, FL 33010</t>
  </si>
  <si>
    <t xml:space="preserve">(305) 863-8995</t>
  </si>
  <si>
    <t xml:space="preserve">https://www.yelp.com/biz/montero-dental-center-hialeah</t>
  </si>
  <si>
    <t xml:space="preserve">P106</t>
  </si>
  <si>
    <t xml:space="preserve">Jose M Del Valle DDS PA</t>
  </si>
  <si>
    <t xml:space="preserve">Consultorio dental</t>
  </si>
  <si>
    <t xml:space="preserve">Dentista con 40 años de experiencia; solo directorios | Forma legal fuente: PA</t>
  </si>
  <si>
    <t xml:space="preserve">https://www.manta.com/c/mm5yfxm/jose-m-del-valle-dds-pa</t>
  </si>
  <si>
    <t xml:space="preserve">3918 W 12th Ave, Hialeah, FL 33012</t>
  </si>
  <si>
    <t xml:space="preserve">(305) 556-1770</t>
  </si>
  <si>
    <t xml:space="preserve">https://www.yelp.com/biz/del-valle-jose-m-dds-pa-hialeah</t>
  </si>
  <si>
    <t xml:space="preserve">P107</t>
  </si>
  <si>
    <t xml:space="preserve">Aventura Dental Arts</t>
  </si>
  <si>
    <t xml:space="preserve">Aventura</t>
  </si>
  <si>
    <t xml:space="preserve">Odontología estética con laboratorio</t>
  </si>
  <si>
    <t xml:space="preserve">~15 empleados (Manta); en operación desde 1990</t>
  </si>
  <si>
    <t xml:space="preserve">https://www.manta.com/c/mb5r01b/aventura-dental-arts</t>
  </si>
  <si>
    <t xml:space="preserve">18851 NE 29th Ave Ste 301, Aventura, FL 33180</t>
  </si>
  <si>
    <t xml:space="preserve">(305) 682-1414</t>
  </si>
  <si>
    <t xml:space="preserve">aventuradentalarts.com</t>
  </si>
  <si>
    <t xml:space="preserve">https://www.facebook.com/aventuradentalarts/</t>
  </si>
  <si>
    <t xml:space="preserve">https://www.instagram.com/aventuradentalarts/</t>
  </si>
  <si>
    <t xml:space="preserve">https://www.yelp.com/biz/aventura-dental-arts-miami-2</t>
  </si>
  <si>
    <t xml:space="preserve">P108</t>
  </si>
  <si>
    <t xml:space="preserve">Felix Varela Medical Clinic Inc</t>
  </si>
  <si>
    <t xml:space="preserve">Medicina familiar</t>
  </si>
  <si>
    <t xml:space="preserve">Fundada en 2012, ~5 empleados (Manta); web a nombre del médico y nombres alternos</t>
  </si>
  <si>
    <t xml:space="preserve">https://www.manta.com/c/mhwzp1k/felix-varela-medical-clinic-inc</t>
  </si>
  <si>
    <t xml:space="preserve">3335 W 4th Ave, Hialeah, FL 33012</t>
  </si>
  <si>
    <t xml:space="preserve">(305) 263-0922</t>
  </si>
  <si>
    <t xml:space="preserve">drluisfelipefelipe.com</t>
  </si>
  <si>
    <t xml:space="preserve">Healthgrades</t>
  </si>
  <si>
    <t xml:space="preserve">P109</t>
  </si>
  <si>
    <t xml:space="preserve">ALS Medical Group Inc</t>
  </si>
  <si>
    <t xml:space="preserve">Medicina familiar / accidentes de auto</t>
  </si>
  <si>
    <t xml:space="preserve">Fundada en 2010, ~5 empleados; web HTML estática (index_sp.html)</t>
  </si>
  <si>
    <t xml:space="preserve">https://www.manta.com/c/mr07gcv/als-medical-group</t>
  </si>
  <si>
    <t xml:space="preserve">8180 NW 36th St #300, Doral, FL 33166</t>
  </si>
  <si>
    <t xml:space="preserve">(305) 592-1409</t>
  </si>
  <si>
    <t xml:space="preserve">alsmedicalgroup.com</t>
  </si>
  <si>
    <t xml:space="preserve">https://www.facebook.com/p/ALS-Medical-Group-100070481402996/</t>
  </si>
  <si>
    <t xml:space="preserve">https://www.instagram.com/alsmedicalgroup/</t>
  </si>
  <si>
    <t xml:space="preserve">segunda sede en Miami Gardens</t>
  </si>
  <si>
    <t xml:space="preserve">P110</t>
  </si>
  <si>
    <t xml:space="preserve">Orthopedic Rehabilitation Specialists Inc</t>
  </si>
  <si>
    <t xml:space="preserve">Fisioterapia independiente</t>
  </si>
  <si>
    <t xml:space="preserve">Fundada en 1985, ~13 empleados</t>
  </si>
  <si>
    <t xml:space="preserve">https://www.manta.com/c/mmnycd5/orthopedic-rehabilitation-specialists-inc</t>
  </si>
  <si>
    <t xml:space="preserve">8720 N Kendall Dr #206, Miami, FL 33176</t>
  </si>
  <si>
    <t xml:space="preserve">(305) 595-9425</t>
  </si>
  <si>
    <t xml:space="preserve">orsphysicaltherapymiami.com</t>
  </si>
  <si>
    <t xml:space="preserve">https://www.linkedin.com/company/orthopedic-rehabilitation-specialists-inc.</t>
  </si>
  <si>
    <t xml:space="preserve">https://www.yelp.com/biz/orthopedic-rehabilitation-specialists-miami</t>
  </si>
  <si>
    <t xml:space="preserve">P111</t>
  </si>
  <si>
    <t xml:space="preserve">Plantation Chiropractic Center Inc</t>
  </si>
  <si>
    <t xml:space="preserve">Plantation</t>
  </si>
  <si>
    <t xml:space="preserve">Quiropráctica</t>
  </si>
  <si>
    <t xml:space="preserve">Fundada en 1988; varios listados en la misma dirección; dominio sin confirmar</t>
  </si>
  <si>
    <t xml:space="preserve">https://www.yellowpages.com/plantation-fl/mip/plantation-chiropractic-center-inc-467764478</t>
  </si>
  <si>
    <t xml:space="preserve">7420 NW 5th St Ste 107, Plantation, FL 33317</t>
  </si>
  <si>
    <t xml:space="preserve">(954) 792-3343</t>
  </si>
  <si>
    <t xml:space="preserve">https://www.facebook.com/p/Plantation-Chiropractic-100063776342532/</t>
  </si>
  <si>
    <t xml:space="preserve">https://www.yelp.com/biz/trachtenberg-lee-dc-plantation-2</t>
  </si>
  <si>
    <t xml:space="preserve">dominio plantationchiropractic.com sin confirmar</t>
  </si>
  <si>
    <t xml:space="preserve">P112</t>
  </si>
  <si>
    <t xml:space="preserve">Miami Beach Chiropractic &amp; Rehabilitation Center PA</t>
  </si>
  <si>
    <t xml:space="preserve">Quiropráctica y rehabilitación</t>
  </si>
  <si>
    <t xml:space="preserve">Fundada en 1995, ~3 empleados; sin web; dos páginas de Facebook y dirección variable | Forma legal fuente: PA</t>
  </si>
  <si>
    <t xml:space="preserve">https://www.manta.com/c/mm0fbmw/miami-beach-chiropractic-rehabilitation-center-pa</t>
  </si>
  <si>
    <t xml:space="preserve">1960 SW 27th Ave, Miami, FL 33145</t>
  </si>
  <si>
    <t xml:space="preserve">(305) 445-3130</t>
  </si>
  <si>
    <t xml:space="preserve">https://www.facebook.com/MiamiBeachChiropractic/</t>
  </si>
  <si>
    <t xml:space="preserve">https://www.yelp.com/biz/miami-beach-chiropractic-and-rehabilitation-ctr-pa-miami</t>
  </si>
  <si>
    <t xml:space="preserve">P113</t>
  </si>
  <si>
    <t xml:space="preserve">Rubio Pharmacy &amp; Discount Inc</t>
  </si>
  <si>
    <t xml:space="preserve">Farmacia independiente</t>
  </si>
  <si>
    <t xml:space="preserve">Fundada en 2011; solo Facebook y directorios</t>
  </si>
  <si>
    <t xml:space="preserve">https://www.manta.com/c/mtr6dz3/rubio-pharmacy-and-discount-inc</t>
  </si>
  <si>
    <t xml:space="preserve">18600 NW 87th Ave #109, Hialeah, FL 33015</t>
  </si>
  <si>
    <t xml:space="preserve">(305) 405-3333</t>
  </si>
  <si>
    <t xml:space="preserve">https://www.facebook.com/RubioPharmacy/</t>
  </si>
  <si>
    <t xml:space="preserve">https://www.yelp.com/biz/rubio-pharmacy-and-discount-hialeah</t>
  </si>
  <si>
    <t xml:space="preserve">Farmacias</t>
  </si>
  <si>
    <t xml:space="preserve">P114</t>
  </si>
  <si>
    <t xml:space="preserve">Tropical Pharmacy Inc</t>
  </si>
  <si>
    <t xml:space="preserve">Fundada en 2008; solo directorios, listada en tres ciudades</t>
  </si>
  <si>
    <t xml:space="preserve">https://www.manta.com/c/mttcj9f/tropical-pharmacy-inc</t>
  </si>
  <si>
    <t xml:space="preserve">6289 W Sunrise Blvd Ste 118, Plantation, FL 33313</t>
  </si>
  <si>
    <t xml:space="preserve">(954) 775-2707</t>
  </si>
  <si>
    <t xml:space="preserve">https://www.yelp.com/biz/tropical-pharmacy-plantation-2</t>
  </si>
  <si>
    <t xml:space="preserve">P115</t>
  </si>
  <si>
    <t xml:space="preserve">Excellent Pharmacy &amp; Discount</t>
  </si>
  <si>
    <t xml:space="preserve">Fundada en 2009, ~4 empleados; ficha sin reclamar y dirección inconsistente</t>
  </si>
  <si>
    <t xml:space="preserve">https://www.manta.com/c/mm890c8/excellent-pharmacy-discount</t>
  </si>
  <si>
    <t xml:space="preserve">9961 SW 142nd Ave, Miami, FL 33186</t>
  </si>
  <si>
    <t xml:space="preserve">(305) 278-8878</t>
  </si>
  <si>
    <t xml:space="preserve">confirmar dirección</t>
  </si>
  <si>
    <t xml:space="preserve">P116</t>
  </si>
  <si>
    <t xml:space="preserve">Frases &amp; Frases Insurance Agency Inc</t>
  </si>
  <si>
    <t xml:space="preserve">Agencia de seguros independiente</t>
  </si>
  <si>
    <t xml:space="preserve">52</t>
  </si>
  <si>
    <t xml:space="preserve">52 Finanzas y seguros</t>
  </si>
  <si>
    <t xml:space="preserve">Opera desde 1979 (Manta: 1997), ~3 empleados; sin dominio propio</t>
  </si>
  <si>
    <t xml:space="preserve">https://www.manta.com/c/mmnct5k/frases-frases-insurance-agency</t>
  </si>
  <si>
    <t xml:space="preserve">5900 W 16th Ave, Hialeah, FL 33012</t>
  </si>
  <si>
    <t xml:space="preserve">(305) 558-1333</t>
  </si>
  <si>
    <t xml:space="preserve">https://www.yelp.com/biz/frases-and-frases-insurance-agency-hialeah</t>
  </si>
  <si>
    <t xml:space="preserve">Seguros y finanzas</t>
  </si>
  <si>
    <t xml:space="preserve">P117</t>
  </si>
  <si>
    <t xml:space="preserve">A &amp; G Insurance Inc</t>
  </si>
  <si>
    <t xml:space="preserve">Fundada en 1994, ~5 empleados; dos dominios, uno en Drupal viejo sin https</t>
  </si>
  <si>
    <t xml:space="preserve">https://www.manta.com/c/mm4mtnd/a-g-insurance</t>
  </si>
  <si>
    <t xml:space="preserve">1870 W 60th St #A, Hialeah, FL 33012</t>
  </si>
  <si>
    <t xml:space="preserve">(305) 556-0066</t>
  </si>
  <si>
    <t xml:space="preserve">aginsagency.com</t>
  </si>
  <si>
    <t xml:space="preserve">https://www.yelp.com/biz/a-and-g-insurance-hialeah</t>
  </si>
  <si>
    <t xml:space="preserve">dos dominios (también aginsurancefl.com)</t>
  </si>
  <si>
    <t xml:space="preserve">P118</t>
  </si>
  <si>
    <t xml:space="preserve">Continental Insurance Office LLC</t>
  </si>
  <si>
    <t xml:space="preserve">Agencia de seguros</t>
  </si>
  <si>
    <t xml:space="preserve">Constituida en 2010; BBB A+; solo directorios</t>
  </si>
  <si>
    <t xml:space="preserve">https://www.bbb.org/us/fl/hialeah/profile/insurance-agency/continental-insurance-office-0633-92071289</t>
  </si>
  <si>
    <t xml:space="preserve">3758 W 12th Ave, Hialeah, FL 33012</t>
  </si>
  <si>
    <t xml:space="preserve">(305) 828-7770</t>
  </si>
  <si>
    <t xml:space="preserve">P119</t>
  </si>
  <si>
    <t xml:space="preserve">Opportunity Insurance Inc</t>
  </si>
  <si>
    <t xml:space="preserve">Instagram; Yelp</t>
  </si>
  <si>
    <t xml:space="preserve">Fundada en 2015; tres dominios distintos</t>
  </si>
  <si>
    <t xml:space="preserve">https://www.bbb.org/us/fl/hialeah/profile/insurance-agency/opportunity-insurance-inc-0633-90612037</t>
  </si>
  <si>
    <t xml:space="preserve">3750 W 16th Ave Ste 222, Hialeah, FL 33012</t>
  </si>
  <si>
    <t xml:space="preserve">(866) 600-7720</t>
  </si>
  <si>
    <t xml:space="preserve">opportunity-insurance.com</t>
  </si>
  <si>
    <t xml:space="preserve">https://www.instagram.com/opportunityinsurance/</t>
  </si>
  <si>
    <t xml:space="preserve">https://www.yelp.com/biz/opportunity-insurance-hialeah</t>
  </si>
  <si>
    <t xml:space="preserve">tres dominios</t>
  </si>
  <si>
    <t xml:space="preserve">P120</t>
  </si>
  <si>
    <t xml:space="preserve">Ramallo Insurance Inc</t>
  </si>
  <si>
    <t xml:space="preserve">Sin dominio propio; dos entidades con nombres parecidos y direcciones distintas</t>
  </si>
  <si>
    <t xml:space="preserve">https://www.manta.com/c/mm8c01j/ramallo-insurance-inc</t>
  </si>
  <si>
    <t xml:space="preserve">2556 SW 8th St, Miami, FL 33135</t>
  </si>
  <si>
    <t xml:space="preserve">(305) 649-2311</t>
  </si>
  <si>
    <t xml:space="preserve">https://www.yelp.com/biz/ramallo-assurance-inc-miami-2</t>
  </si>
  <si>
    <t xml:space="preserve">coincidencia dudosa entre dos entidades</t>
  </si>
  <si>
    <t xml:space="preserve">P121</t>
  </si>
  <si>
    <t xml:space="preserve">Targa Insurance Inc</t>
  </si>
  <si>
    <t xml:space="preserve">Fundada en 2007, ~3 empleados; ficha sin reclamar</t>
  </si>
  <si>
    <t xml:space="preserve">https://www.manta.com/c/mhh0xzb/targa-insurance-inc</t>
  </si>
  <si>
    <t xml:space="preserve">407 NE 8th St, Fort Lauderdale, FL 33304</t>
  </si>
  <si>
    <t xml:space="preserve">(954) 462-8123</t>
  </si>
  <si>
    <t xml:space="preserve">https://www.yelp.com/biz/targa-insurance-fort-lauderdale</t>
  </si>
  <si>
    <t xml:space="preserve">P122</t>
  </si>
  <si>
    <t xml:space="preserve">Florida Insurance &amp; Plus LLC</t>
  </si>
  <si>
    <t xml:space="preserve">Fundada en 2012; sin dominio; duplicada en Yelp y dirección alterna</t>
  </si>
  <si>
    <t xml:space="preserve">https://www.manta.com/c/mtrvtd1/florida-insurance-plus</t>
  </si>
  <si>
    <t xml:space="preserve">323 S 21st Ave Ste C, Hollywood, FL 33020</t>
  </si>
  <si>
    <t xml:space="preserve">(954) 639-7344</t>
  </si>
  <si>
    <t xml:space="preserve">https://www.facebook.com/100070735132722/</t>
  </si>
  <si>
    <t xml:space="preserve">https://www.yelp.com/biz/florida-insurance-and-plus-hollywood</t>
  </si>
  <si>
    <t xml:space="preserve">P123</t>
  </si>
  <si>
    <t xml:space="preserve">AllStar Insurance Services Inc</t>
  </si>
  <si>
    <t xml:space="preserve">Seguros de hogar, flood y auto</t>
  </si>
  <si>
    <t xml:space="preserve">Desde 2011, 3 empleados, BBB A+; dos direcciones</t>
  </si>
  <si>
    <t xml:space="preserve">https://www.bbb.org/us/fl/miami-beach/profile/insurance-services-office/allstar-insurance-services-inc-0633-27003053</t>
  </si>
  <si>
    <t xml:space="preserve">740 71st St, Miami Beach, FL 33141</t>
  </si>
  <si>
    <t xml:space="preserve">(305) 865-7777</t>
  </si>
  <si>
    <t xml:space="preserve">chooseallstar.com</t>
  </si>
  <si>
    <t xml:space="preserve">https://www.facebook.com/chooseallstar/</t>
  </si>
  <si>
    <t xml:space="preserve">https://www.yelp.com/biz/allstar-insurance-services-north-bay-village</t>
  </si>
  <si>
    <t xml:space="preserve">P124</t>
  </si>
  <si>
    <t xml:space="preserve">Continental Trust Mortgage</t>
  </si>
  <si>
    <t xml:space="preserve">Broker hipotecario</t>
  </si>
  <si>
    <t xml:space="preserve">Fundada en 2011, 20-49 empleados (Manta); sin dominio</t>
  </si>
  <si>
    <t xml:space="preserve">https://www.manta.com/c/mr0113x/continental-trust-mortgage</t>
  </si>
  <si>
    <t xml:space="preserve">8550 NW 33rd St, Doral, FL 33122</t>
  </si>
  <si>
    <t xml:space="preserve">(305) 559-7707</t>
  </si>
  <si>
    <t xml:space="preserve">https://www.yelp.com/biz/continental-trust-mortgage-miami-2</t>
  </si>
  <si>
    <t xml:space="preserve">P125</t>
  </si>
  <si>
    <t xml:space="preserve">Mortgage Funding Group Inc</t>
  </si>
  <si>
    <t xml:space="preserve">Fundada en 1997, ~6 empleados; tres direcciones distintas entre fuentes</t>
  </si>
  <si>
    <t xml:space="preserve">https://www.manta.com/c/mmb664t/mortgage-funding-group-inc</t>
  </si>
  <si>
    <t xml:space="preserve">8551 W Sunrise Blvd Ste 105E, Plantation, FL 33322</t>
  </si>
  <si>
    <t xml:space="preserve">(954) 741-9200</t>
  </si>
  <si>
    <t xml:space="preserve">mtgfunding.com</t>
  </si>
  <si>
    <t xml:space="preserve">https://www.yelp.com/biz/mortgage-funding-group-plantation</t>
  </si>
  <si>
    <t xml:space="preserve">P126</t>
  </si>
  <si>
    <t xml:space="preserve">Envios 22-24 Inc</t>
  </si>
  <si>
    <t xml:space="preserve">Envío de dinero y paquetería</t>
  </si>
  <si>
    <t xml:space="preserve">Fundada en 1985 (LinkedIn), 4 sedes; sin dominio; dos teléfonos</t>
  </si>
  <si>
    <t xml:space="preserve">https://www.manta.com/c/mmpy8rx/envios-22-24</t>
  </si>
  <si>
    <t xml:space="preserve">2961 W 12th Ave, Hialeah, FL 33012</t>
  </si>
  <si>
    <t xml:space="preserve">(305) 888-2224</t>
  </si>
  <si>
    <t xml:space="preserve">https://www.linkedin.com/company/envios-22-24-inc</t>
  </si>
  <si>
    <t xml:space="preserve">https://www.yelp.com/biz/envios-2224-hialeah</t>
  </si>
  <si>
    <t xml:space="preserve">P127</t>
  </si>
  <si>
    <t xml:space="preserve">El Yoyito Restaurant y Cafetería</t>
  </si>
  <si>
    <t xml:space="preserve">Cafetería/restaurante cubano (ventanita)</t>
  </si>
  <si>
    <t xml:space="preserve">Más de 10 años operando (Miami New Times); solo directorios</t>
  </si>
  <si>
    <t xml:space="preserve">https://www.yelp.com/biz/el-yoyito-restaurant-y-cafeteria-hialeah</t>
  </si>
  <si>
    <t xml:space="preserve">495 E 49th St, Hialeah, FL 33013</t>
  </si>
  <si>
    <t xml:space="preserve">(305) 953-0701</t>
  </si>
  <si>
    <t xml:space="preserve">http://m.facebook.com/profile.php?id=127183447924452</t>
  </si>
  <si>
    <t xml:space="preserve">https://www.miaminewtimes.com/location/el-yoyito-restaurant-y-cafe-6421187/</t>
  </si>
  <si>
    <t xml:space="preserve">P128</t>
  </si>
  <si>
    <t xml:space="preserve">2000 Cafe Inc</t>
  </si>
  <si>
    <t xml:space="preserve">Cafetería / heladería</t>
  </si>
  <si>
    <t xml:space="preserve">Clientela de décadas según reseñas; solo directorios</t>
  </si>
  <si>
    <t xml:space="preserve">https://www.yellowpages.com/hialeah-fl/mip/2000-cafe-inc-462536135</t>
  </si>
  <si>
    <t xml:space="preserve">500 W 49th St Ste C, Hialeah, FL 33012</t>
  </si>
  <si>
    <t xml:space="preserve">(305) 828-0690</t>
  </si>
  <si>
    <t xml:space="preserve">https://www.yelp.com/biz/2000-cafe-hialeah</t>
  </si>
  <si>
    <t xml:space="preserve">P129</t>
  </si>
  <si>
    <t xml:space="preserve">Latin Cafe 2000</t>
  </si>
  <si>
    <t xml:space="preserve">Restaurante familiar cubano</t>
  </si>
  <si>
    <t xml:space="preserve">Familiar, 203 reseñas en Yelp</t>
  </si>
  <si>
    <t xml:space="preserve">https://www.yelp.com/biz/latin-cafe-2000-hialeah</t>
  </si>
  <si>
    <t xml:space="preserve">1192 W 49th St, Hialeah, FL</t>
  </si>
  <si>
    <t xml:space="preserve">(305) 820-1919</t>
  </si>
  <si>
    <t xml:space="preserve">P130</t>
  </si>
  <si>
    <t xml:space="preserve">The Original Cuban Barbershop LLC</t>
  </si>
  <si>
    <t xml:space="preserve">Barbería</t>
  </si>
  <si>
    <t xml:space="preserve">Registrada ~2017 en Sunbiz; solo Booksy y directorios</t>
  </si>
  <si>
    <t xml:space="preserve">https://www.yelp.com/biz/the-original-cuban-barbershop-miami-3</t>
  </si>
  <si>
    <t xml:space="preserve">1612 SW 8th St, Miami, FL 33135</t>
  </si>
  <si>
    <t xml:space="preserve">(305) 643-9006</t>
  </si>
  <si>
    <t xml:space="preserve">https://booksy.com/en-us/1064288_la-barberia-the-original-cuban-barbershop_barber-shop_15889_miami</t>
  </si>
  <si>
    <t xml:space="preserve">Belleza y barberías</t>
  </si>
  <si>
    <t xml:space="preserve">P131</t>
  </si>
  <si>
    <t xml:space="preserve">Homerun Barbershop</t>
  </si>
  <si>
    <t xml:space="preserve">Mural de estadio conocido en el barrio; sin dominio propio</t>
  </si>
  <si>
    <t xml:space="preserve">https://calleochonews.com/homerun-barbershop-in-little-havana-is-a-grand-slam/</t>
  </si>
  <si>
    <t xml:space="preserve">1735 NW 7th St, Miami, FL</t>
  </si>
  <si>
    <t xml:space="preserve">(305) 850-8864</t>
  </si>
  <si>
    <t xml:space="preserve">https://www.yelp.com/biz/homerun-barbershop-miami</t>
  </si>
  <si>
    <t xml:space="preserve">P132</t>
  </si>
  <si>
    <t xml:space="preserve">Joe's Barber Shop</t>
  </si>
  <si>
    <t xml:space="preserve">Un directorio le atribuye un dominio sin confirmar</t>
  </si>
  <si>
    <t xml:space="preserve">https://www.yelp.com/biz/joes-barber-shop-hialeah</t>
  </si>
  <si>
    <t xml:space="preserve">5416 Palm Ave, Hialeah, FL 33012</t>
  </si>
  <si>
    <t xml:space="preserve">(305) 823-9206</t>
  </si>
  <si>
    <t xml:space="preserve">https://www.yellowpages.com/hialeah-fl/mip/joes-barber-shop-16413541</t>
  </si>
  <si>
    <t xml:space="preserve">verificar dominio</t>
  </si>
  <si>
    <t xml:space="preserve">P133</t>
  </si>
  <si>
    <t xml:space="preserve">RBTT Boxing Gym</t>
  </si>
  <si>
    <t xml:space="preserve">Gimnasio de boxeo</t>
  </si>
  <si>
    <t xml:space="preserve">71</t>
  </si>
  <si>
    <t xml:space="preserve">71 Recreación y fitness</t>
  </si>
  <si>
    <t xml:space="preserve">Entrenador con 38 años de experiencia; solo directorios</t>
  </si>
  <si>
    <t xml:space="preserve">https://www.yelp.com/biz/rbtt-boxing-gym-hialeah</t>
  </si>
  <si>
    <t xml:space="preserve">7975 W 28th Ave, Hialeah, FL 33016</t>
  </si>
  <si>
    <t xml:space="preserve">(786) 370-1542</t>
  </si>
  <si>
    <t xml:space="preserve">https://local.yahoo.com/info-236448236-rbtt-boxing-gym-hialeah/</t>
  </si>
  <si>
    <t xml:space="preserve">Fitness, deporte y recreación</t>
  </si>
  <si>
    <t xml:space="preserve">P134</t>
  </si>
  <si>
    <t xml:space="preserve">Kangaroo Boxing Gym</t>
  </si>
  <si>
    <t xml:space="preserve">Club registrado en BoxRec; solo directorios</t>
  </si>
  <si>
    <t xml:space="preserve">https://www.yelp.com/biz/kangaroo-boxing-gym-hialeah-gardens</t>
  </si>
  <si>
    <t xml:space="preserve">13117 NW 107th Ave, Hialeah Gardens, FL 33018</t>
  </si>
  <si>
    <t xml:space="preserve">(786) 371-1786</t>
  </si>
  <si>
    <t xml:space="preserve">https://www.instagram.com/kangarooboxinggym/</t>
  </si>
  <si>
    <t xml:space="preserve">https://local.yahoo.com/info-233970697-kangaroo-boxing-gym-hialeah-gardens/</t>
  </si>
  <si>
    <t xml:space="preserve">P135</t>
  </si>
  <si>
    <t xml:space="preserve">The Magic Dance Studio &amp; Academy LLC</t>
  </si>
  <si>
    <t xml:space="preserve">Academia de baile</t>
  </si>
  <si>
    <t xml:space="preserve">Fundada en 2004; solo redes y directorios</t>
  </si>
  <si>
    <t xml:space="preserve">https://www.yelp.com/biz/the-magic-dance-academy-hialeah</t>
  </si>
  <si>
    <t xml:space="preserve">470 W 29th St, Hialeah, FL 33012</t>
  </si>
  <si>
    <t xml:space="preserve">(786) 354-5561</t>
  </si>
  <si>
    <t xml:space="preserve">https://www.facebook.com/themagicdancestudio/</t>
  </si>
  <si>
    <t xml:space="preserve">https://www.yellowpages.com/hialeah-fl/mip/the-magic-dance-studio-academy-519255494</t>
  </si>
  <si>
    <t xml:space="preserve">P136</t>
  </si>
  <si>
    <t xml:space="preserve">Sport and Dance Academy</t>
  </si>
  <si>
    <t xml:space="preserve">Academia de baile y deporte</t>
  </si>
  <si>
    <t xml:space="preserve">Dominio propio</t>
  </si>
  <si>
    <t xml:space="preserve">https://www.sportanddanceacademy.com/contact</t>
  </si>
  <si>
    <t xml:space="preserve">7987 W 28th Ave, Hialeah, FL 33016</t>
  </si>
  <si>
    <t xml:space="preserve">(786) 587-9090</t>
  </si>
  <si>
    <t xml:space="preserve">sportanddanceacademy.com</t>
  </si>
  <si>
    <t xml:space="preserve">https://www.facebook.com/sportanddanceacademy/</t>
  </si>
  <si>
    <t xml:space="preserve">https://www.yelp.com/biz/sport-and-dance-academy-hialeah</t>
  </si>
  <si>
    <t xml:space="preserve">P137</t>
  </si>
  <si>
    <t xml:space="preserve">Cleaners At Doral</t>
  </si>
  <si>
    <t xml:space="preserve">22 años en el negocio; dos nombres distintos en la misma dirección</t>
  </si>
  <si>
    <t xml:space="preserve">https://www.yellowpages.com/doral-fl/mip/cleaners-at-doral-13465665</t>
  </si>
  <si>
    <t xml:space="preserve">10473 NW 41st St, Doral, FL 33178</t>
  </si>
  <si>
    <t xml:space="preserve">(305) 599-8558</t>
  </si>
  <si>
    <t xml:space="preserve">https://www.yelp.com/biz/dinas-cleaners-doral</t>
  </si>
  <si>
    <t xml:space="preserve">P138</t>
  </si>
  <si>
    <t xml:space="preserve">Doral Bakery &amp; Cafeteria</t>
  </si>
  <si>
    <t xml:space="preserve">Panadería/cafetería cubana</t>
  </si>
  <si>
    <t xml:space="preserve">Solo directorios y delivery</t>
  </si>
  <si>
    <t xml:space="preserve">https://www.yelp.com/biz/doral-bakery-and-cafeteria-doral</t>
  </si>
  <si>
    <t xml:space="preserve">2737 NW 79th Ave, Doral, FL</t>
  </si>
  <si>
    <t xml:space="preserve">(305) 392-9900</t>
  </si>
  <si>
    <t xml:space="preserve">https://local.yahoo.com/info-88725828-doral-bakery-cafeteria-doral/</t>
  </si>
  <si>
    <t xml:space="preserve">P139</t>
  </si>
  <si>
    <t xml:space="preserve">Kendall's Bakery Restaurant</t>
  </si>
  <si>
    <t xml:space="preserve">Panadería/restaurante</t>
  </si>
  <si>
    <t xml:space="preserve">https://www.yelp.com/biz/kendalls-bakery-restaurant-miami</t>
  </si>
  <si>
    <t xml:space="preserve">13595 SW 137th Ave, Miami, FL 33186</t>
  </si>
  <si>
    <t xml:space="preserve">(305) 235-1948</t>
  </si>
  <si>
    <t xml:space="preserve">https://local.yahoo.com/info-192956246-kendall-s-bakery-restaurant-miami/</t>
  </si>
  <si>
    <t xml:space="preserve">P140</t>
  </si>
  <si>
    <t xml:space="preserve">A Labor of Love Dog Grooming Salon</t>
  </si>
  <si>
    <t xml:space="preserve">Peluquería canina</t>
  </si>
  <si>
    <t xml:space="preserve">Familiar desde 2004; solo Facebook y directorios</t>
  </si>
  <si>
    <t xml:space="preserve">https://www.yelp.com/biz/a-labor-of-love-dog-grooming-salon-miami-3</t>
  </si>
  <si>
    <t xml:space="preserve">10864 SW 104th St, Miami, FL 33176</t>
  </si>
  <si>
    <t xml:space="preserve">(305) 270-9170</t>
  </si>
  <si>
    <t xml:space="preserve">https://www.facebook.com/alaboroflovedoggrooming/</t>
  </si>
  <si>
    <t xml:space="preserve">P141</t>
  </si>
  <si>
    <t xml:space="preserve">Magique Hair Salon</t>
  </si>
  <si>
    <t xml:space="preserve">Salón de belleza</t>
  </si>
  <si>
    <t xml:space="preserve">Fundado en 1992; dos fichas en Yelp y dominio nuevo por cambio de marca</t>
  </si>
  <si>
    <t xml:space="preserve">https://www.yelp.com/biz/magique-hair-salon-aventura</t>
  </si>
  <si>
    <t xml:space="preserve">18121 Biscayne Blvd, Aventura, FL</t>
  </si>
  <si>
    <t xml:space="preserve">(305) 935-4247</t>
  </si>
  <si>
    <t xml:space="preserve">wonderlong.salon</t>
  </si>
  <si>
    <t xml:space="preserve">https://www.facebook.com/magiqueaventura/</t>
  </si>
  <si>
    <t xml:space="preserve">https://www.instagram.com/magique.hairsalon/</t>
  </si>
  <si>
    <t xml:space="preserve">dos fichas en Yelp</t>
  </si>
  <si>
    <t xml:space="preserve">P142</t>
  </si>
  <si>
    <t xml:space="preserve">L'Estetica Salon</t>
  </si>
  <si>
    <t xml:space="preserve">Más de 30 años (desde ~1995)</t>
  </si>
  <si>
    <t xml:space="preserve">https://lesteticasalon.com/contact-us/</t>
  </si>
  <si>
    <t xml:space="preserve">19495 Biscayne Blvd Suite 101, Aventura, FL 33180</t>
  </si>
  <si>
    <t xml:space="preserve">(305) 933-0400</t>
  </si>
  <si>
    <t xml:space="preserve">lesteticasalon.com</t>
  </si>
  <si>
    <t xml:space="preserve">https://www.facebook.com/lesteticasalonmia</t>
  </si>
  <si>
    <t xml:space="preserve">https://www.yelp.com/biz/l-estetica-salon-aventura</t>
  </si>
  <si>
    <t xml:space="preserve">P143</t>
  </si>
  <si>
    <t xml:space="preserve">L'Auberge Haitian Restaurant</t>
  </si>
  <si>
    <t xml:space="preserve">Restaurante familiar haitiano</t>
  </si>
  <si>
    <t xml:space="preserve">Familiar desde 2002; dominio .shop y varios sitios espejo</t>
  </si>
  <si>
    <t xml:space="preserve">https://www.yelp.com/biz/l-auberge-haitian-restaurant-north-miami</t>
  </si>
  <si>
    <t xml:space="preserve">13315 W Dixie Hwy, North Miami, FL</t>
  </si>
  <si>
    <t xml:space="preserve">(305) 891-0077</t>
  </si>
  <si>
    <t xml:space="preserve">laubergerestaurant.shop</t>
  </si>
  <si>
    <t xml:space="preserve">https://www.theinfatuation.com/miami/reviews/lauberge-restaurant</t>
  </si>
  <si>
    <t xml:space="preserve">P144</t>
  </si>
  <si>
    <t xml:space="preserve">Chez Madame John's Restaurant</t>
  </si>
  <si>
    <t xml:space="preserve">Restaurante haitiano para llevar</t>
  </si>
  <si>
    <t xml:space="preserve">Nació como venta de griot en Little Haiti; solo directorios</t>
  </si>
  <si>
    <t xml:space="preserve">https://www.miaminewtimes.com/location/chez-madame-johns-restaurant-6411679</t>
  </si>
  <si>
    <t xml:space="preserve">975 NE 125th St, North Miami, FL 33161</t>
  </si>
  <si>
    <t xml:space="preserve">(305) 892-9333</t>
  </si>
  <si>
    <t xml:space="preserve">https://www.yelp.com/biz/chez-madame-johns-restaurant-north-miami</t>
  </si>
  <si>
    <t xml:space="preserve">https://www.tripadvisor.com/Restaurant_Review-g34485-d4632141-Reviews-Chez_Madame_Johns_Restaurant-North_Miami_Florida.html</t>
  </si>
  <si>
    <t xml:space="preserve">web no encontrada; confirmar que sigue abierto</t>
  </si>
  <si>
    <t xml:space="preserve">P145</t>
  </si>
  <si>
    <t xml:space="preserve">El Bajareque Restaurant</t>
  </si>
  <si>
    <t xml:space="preserve">Wynwood</t>
  </si>
  <si>
    <t xml:space="preserve">Restaurante familiar puertorriqueño</t>
  </si>
  <si>
    <t xml:space="preserve">Fundado en 1970; último original de 'Little San Juan'</t>
  </si>
  <si>
    <t xml:space="preserve">https://www.yelp.com/biz/el-bajareque-restaurant-miami</t>
  </si>
  <si>
    <t xml:space="preserve">278 NW 36th St, Miami, FL 33127</t>
  </si>
  <si>
    <t xml:space="preserve">(305) 576-5170</t>
  </si>
  <si>
    <t xml:space="preserve">elbajarequerestaurant.com</t>
  </si>
  <si>
    <t xml:space="preserve">https://www.instagram.com/elbajareque/</t>
  </si>
  <si>
    <t xml:space="preserve">https://elbajarequerestaurant.com/contact-us</t>
  </si>
  <si>
    <t xml:space="preserve">P146</t>
  </si>
  <si>
    <t xml:space="preserve">Wynwood Car Wash</t>
  </si>
  <si>
    <t xml:space="preserve">Autolavado</t>
  </si>
  <si>
    <t xml:space="preserve">24/7; solo directorios y sitio espejo</t>
  </si>
  <si>
    <t xml:space="preserve">https://www.yelp.com/biz/wynwood-car-wash-miami</t>
  </si>
  <si>
    <t xml:space="preserve">2875 NE 2nd Ave, Miami, FL 33137</t>
  </si>
  <si>
    <t xml:space="preserve">(305) 438-1773</t>
  </si>
  <si>
    <t xml:space="preserve">https://local.yahoo.com/info-127474321-wynwood-car-wash-miami/</t>
  </si>
  <si>
    <t xml:space="preserve">P147</t>
  </si>
  <si>
    <t xml:space="preserve">Norman's Tavern</t>
  </si>
  <si>
    <t xml:space="preserve">Bar &amp; grill</t>
  </si>
  <si>
    <t xml:space="preserve">Institución de North Beach desde 1970; dominio + página 'oficial' en directorio</t>
  </si>
  <si>
    <t xml:space="preserve">https://www.yelp.com/biz/normans-tavern-miami-beach-4</t>
  </si>
  <si>
    <t xml:space="preserve">6770 Collins Ave, Miami Beach, FL 33141</t>
  </si>
  <si>
    <t xml:space="preserve">(305) 868-9248</t>
  </si>
  <si>
    <t xml:space="preserve">normans.biz</t>
  </si>
  <si>
    <t xml:space="preserve">P148</t>
  </si>
  <si>
    <t xml:space="preserve">Puerto Sagua Restaurant</t>
  </si>
  <si>
    <t xml:space="preserve">Abierto desde 1962; varios dominios sin oficial claro; 3,939 reseñas</t>
  </si>
  <si>
    <t xml:space="preserve">https://www.yelp.com/biz/puerto-sagua-restaurant-miami-beach</t>
  </si>
  <si>
    <t xml:space="preserve">700 Collins Ave, Miami Beach, FL 33139</t>
  </si>
  <si>
    <t xml:space="preserve">(305) 673-1115</t>
  </si>
  <si>
    <t xml:space="preserve">puertosagua.org</t>
  </si>
  <si>
    <t xml:space="preserve">https://puertosagua.org/locations.html</t>
  </si>
  <si>
    <t xml:space="preserve">varios dominios</t>
  </si>
  <si>
    <t xml:space="preserve">P149</t>
  </si>
  <si>
    <t xml:space="preserve">Best Dry Cleaners &amp; Shoe Repair</t>
  </si>
  <si>
    <t xml:space="preserve">Tintorería y zapatería</t>
  </si>
  <si>
    <t xml:space="preserve">Familiar desde 1986, segunda generación</t>
  </si>
  <si>
    <t xml:space="preserve">https://www.yelp.com/biz/best-dry-cleaners-and-shoe-repair-miami-beach</t>
  </si>
  <si>
    <t xml:space="preserve">1544 Alton Rd, Miami Beach, FL 33139</t>
  </si>
  <si>
    <t xml:space="preserve">(305) 531-9755</t>
  </si>
  <si>
    <t xml:space="preserve">https://www.facebook.com/bestcleanersshoerepair/</t>
  </si>
  <si>
    <t xml:space="preserve">https://www.yellowpages.com/miami-beach-fl/mip/best-dry-cleaners-shoe-repair-10199777</t>
  </si>
  <si>
    <t xml:space="preserve">P150</t>
  </si>
  <si>
    <t xml:space="preserve">Mark's Quality Cleaners &amp; Laundry</t>
  </si>
  <si>
    <t xml:space="preserve">Tintorería/lavandería</t>
  </si>
  <si>
    <t xml:space="preserve">Familiar desde 1953; web propia pero dos fichas en Yelp y otro nombre en la misma dirección</t>
  </si>
  <si>
    <t xml:space="preserve">https://www.yelp.com/biz/marks-quality-cleaners-miami-beach-2</t>
  </si>
  <si>
    <t xml:space="preserve">1745 Alton Rd, Miami Beach, FL 33139</t>
  </si>
  <si>
    <t xml:space="preserve">(305) 538-6275</t>
  </si>
  <si>
    <t xml:space="preserve">marksqualitycleaners.net</t>
  </si>
  <si>
    <t xml:space="preserve">https://www.facebook.com/MarksQualityCleaners/</t>
  </si>
  <si>
    <t xml:space="preserve">https://marksqualitycleaners.net/contact/</t>
  </si>
  <si>
    <t xml:space="preserve">P151</t>
  </si>
  <si>
    <t xml:space="preserve">Island House South Beach</t>
  </si>
  <si>
    <t xml:space="preserve">Hotel pequeño / casa de huéspedes</t>
  </si>
  <si>
    <t xml:space="preserve">Misma familia desde 1995</t>
  </si>
  <si>
    <t xml:space="preserve">https://islandhousesouthbeach.com/</t>
  </si>
  <si>
    <t xml:space="preserve">1428 Collins Ave, Miami Beach, FL</t>
  </si>
  <si>
    <t xml:space="preserve">islandhousesouthbeach.com</t>
  </si>
  <si>
    <t xml:space="preserve">Hoteles y alojamiento</t>
  </si>
  <si>
    <t xml:space="preserve">P152</t>
  </si>
  <si>
    <t xml:space="preserve">Chocolada Bakery &amp; Cafe Inc</t>
  </si>
  <si>
    <t xml:space="preserve">Pastelería europea y restaurante</t>
  </si>
  <si>
    <t xml:space="preserve">Desde 1993; web solo por http con título antiguo; 448 reseñas</t>
  </si>
  <si>
    <t xml:space="preserve">https://www.yelp.com/biz/chocolada-bakery-and-cafe-hollywood</t>
  </si>
  <si>
    <t xml:space="preserve">1923 Hollywood Blvd, Hollywood, FL 33020</t>
  </si>
  <si>
    <t xml:space="preserve">(954) 920-6400</t>
  </si>
  <si>
    <t xml:space="preserve">hollywoodchocolada.com</t>
  </si>
  <si>
    <t xml:space="preserve">https://www.facebook.com/hollywoodchocolada/</t>
  </si>
  <si>
    <t xml:space="preserve">https://www.yellowpages.com/hollywood-fl/mip/chocolada-bakery-cafe-8426628</t>
  </si>
  <si>
    <t xml:space="preserve">P153</t>
  </si>
  <si>
    <t xml:space="preserve">Santo's Barber Shop</t>
  </si>
  <si>
    <t xml:space="preserve">Barbería familiar</t>
  </si>
  <si>
    <t xml:space="preserve">Familiar; 119 reseñas en Birdeye; solo redes</t>
  </si>
  <si>
    <t xml:space="preserve">https://www.yelp.com/biz/santos-barber-shop-hollywood</t>
  </si>
  <si>
    <t xml:space="preserve">220 S State Rd 7, Hollywood, FL 33023</t>
  </si>
  <si>
    <t xml:space="preserve">(954) 966-7178</t>
  </si>
  <si>
    <t xml:space="preserve">https://www.facebook.com/santosbarbershophollywood/</t>
  </si>
  <si>
    <t xml:space="preserve">https://www.yellowpages.com/hollywood-fl/mip/santos-barber-shop-470291605</t>
  </si>
  <si>
    <t xml:space="preserve">P154</t>
  </si>
  <si>
    <t xml:space="preserve">Golden Sand Motel</t>
  </si>
  <si>
    <t xml:space="preserve">Motel frente al mar</t>
  </si>
  <si>
    <t xml:space="preserve">Solo subdominio gratuito de GoDaddy, sin dominio propio</t>
  </si>
  <si>
    <t xml:space="preserve">https://www.tripadvisor.com/Hotel_Review-g34296-d12460813-Reviews-Golden_Sand_Motel-Hollywood_Broward_County_Florida.html</t>
  </si>
  <si>
    <t xml:space="preserve">(786) 877-3829</t>
  </si>
  <si>
    <t xml:space="preserve">goldensandoceanfront.godaddysites.com</t>
  </si>
  <si>
    <t xml:space="preserve">https://goldensandoceanfront.godaddysites.com/</t>
  </si>
  <si>
    <t xml:space="preserve">confirmar línea comercial</t>
  </si>
  <si>
    <t xml:space="preserve">P155</t>
  </si>
  <si>
    <t xml:space="preserve">Diane Oceanfront Suites</t>
  </si>
  <si>
    <t xml:space="preserve">Motel familiar frente al mar</t>
  </si>
  <si>
    <t xml:space="preserve">Motel familiar en el Broadwalk; varios sitios espejo de reservas</t>
  </si>
  <si>
    <t xml:space="preserve">https://www.yelp.com/biz/diane-oceanfront-suites-hollywood</t>
  </si>
  <si>
    <t xml:space="preserve">1300 N Broadwalk, Hollywood, FL 33019</t>
  </si>
  <si>
    <t xml:space="preserve">(954) 927-9236</t>
  </si>
  <si>
    <t xml:space="preserve">dianeoceanfrontsuites.com</t>
  </si>
  <si>
    <t xml:space="preserve">https://www.facebook.com/Dianesuites/</t>
  </si>
  <si>
    <t xml:space="preserve">https://dianeoceanfrontsuites.com/</t>
  </si>
  <si>
    <t xml:space="preserve">P156</t>
  </si>
  <si>
    <t xml:space="preserve">Ferrara Auto Spa</t>
  </si>
  <si>
    <t xml:space="preserve">Detailing de autos</t>
  </si>
  <si>
    <t xml:space="preserve">~20 años en Broward (desde ~2005); dos dominios</t>
  </si>
  <si>
    <t xml:space="preserve">https://www.southfloridasuntimes.com/news/ferrara-auto-spa,-ferrara-automotive:-serving-the-broward-community-for-20-years</t>
  </si>
  <si>
    <t xml:space="preserve">2000 Sheridan St Ste 2, Hollywood, FL 33020</t>
  </si>
  <si>
    <t xml:space="preserve">(954) 927-5265</t>
  </si>
  <si>
    <t xml:space="preserve">ferraraautospa.com</t>
  </si>
  <si>
    <t xml:space="preserve">https://www.facebook.com/ferraraautospa/</t>
  </si>
  <si>
    <t xml:space="preserve">https://www.yelp.com/biz/ferrara-auto-spa-hollywood</t>
  </si>
  <si>
    <t xml:space="preserve">dos dominios</t>
  </si>
  <si>
    <t xml:space="preserve">P157</t>
  </si>
  <si>
    <t xml:space="preserve">Tarks of Dania Beach</t>
  </si>
  <si>
    <t xml:space="preserve">Dania Beach</t>
  </si>
  <si>
    <t xml:space="preserve">Marisquería familiar</t>
  </si>
  <si>
    <t xml:space="preserve">Desde 1966; 1,168 reseñas</t>
  </si>
  <si>
    <t xml:space="preserve">https://www.yelp.com/biz/tarks-of-dania-beach-dania-beach</t>
  </si>
  <si>
    <t xml:space="preserve">1317 S Federal Hwy, Dania Beach, FL 33004</t>
  </si>
  <si>
    <t xml:space="preserve">(954) 925-8275</t>
  </si>
  <si>
    <t xml:space="preserve">tarksofdania.com</t>
  </si>
  <si>
    <t xml:space="preserve">https://www.instagram.com/tarksdania/</t>
  </si>
  <si>
    <t xml:space="preserve">https://tarksofdania.com/</t>
  </si>
  <si>
    <t xml:space="preserve">P158</t>
  </si>
  <si>
    <t xml:space="preserve">Alexandria's Grooming Inc</t>
  </si>
  <si>
    <t xml:space="preserve">Peluquería de mascotas</t>
  </si>
  <si>
    <t xml:space="preserve">Mismo local desde 1999; familiar</t>
  </si>
  <si>
    <t xml:space="preserve">https://www.yelp.com/biz/alexandrias-grooming-fort-lauderdale</t>
  </si>
  <si>
    <t xml:space="preserve">2032 E Oakland Park Blvd, Fort Lauderdale, FL 33306</t>
  </si>
  <si>
    <t xml:space="preserve">(954) 564-4141</t>
  </si>
  <si>
    <t xml:space="preserve">alexandriasgrooming.com</t>
  </si>
  <si>
    <t xml:space="preserve">https://www.facebook.com/AlexandriasGrooming/</t>
  </si>
  <si>
    <t xml:space="preserve">https://www.bbb.org/us/fl/fort-lauderdale/profile/pet-grooming/alexandrias-grooming-inc-0633-7003888</t>
  </si>
  <si>
    <t xml:space="preserve">P159</t>
  </si>
  <si>
    <t xml:space="preserve">Chung's Kung Fu and Tai Chi Academy</t>
  </si>
  <si>
    <t xml:space="preserve">Artes marciales</t>
  </si>
  <si>
    <t xml:space="preserve">38 años enseñando en el sur de Florida (desde ~1988); dos dominios y dos páginas de Facebook</t>
  </si>
  <si>
    <t xml:space="preserve">https://www.yelp.com/biz/chungs-kung-fu-and-tai-chi-academy-fort-lauderdale</t>
  </si>
  <si>
    <t xml:space="preserve">4861 N Dixie Hwy Ste 201B, Fort Lauderdale, FL 33334</t>
  </si>
  <si>
    <t xml:space="preserve">(954) 224-9940</t>
  </si>
  <si>
    <t xml:space="preserve">chungstaichi.com</t>
  </si>
  <si>
    <t xml:space="preserve">https://www.facebook.com/dragonkungfuflorida</t>
  </si>
  <si>
    <t xml:space="preserve">https://local.yahoo.com/info-120238237-chung-s-kung-fu-and-tai-chi-academy-fort-lauderdale</t>
  </si>
  <si>
    <t xml:space="preserve">P160</t>
  </si>
  <si>
    <t xml:space="preserve">Egg &amp; You Diner</t>
  </si>
  <si>
    <t xml:space="preserve">Diner familiar</t>
  </si>
  <si>
    <t xml:space="preserve">Solo Facebook y sitios de menús de terceros; 272 reseñas</t>
  </si>
  <si>
    <t xml:space="preserve">https://www.yelp.com/biz/egg-and-you-diner-fort-lauderdale</t>
  </si>
  <si>
    <t xml:space="preserve">2621 N Federal Hwy, Fort Lauderdale, FL 33306</t>
  </si>
  <si>
    <t xml:space="preserve">(954) 564-2045</t>
  </si>
  <si>
    <t xml:space="preserve">https://www.facebook.com/p/Egg-You-Diner-100063651605655/</t>
  </si>
  <si>
    <t xml:space="preserve">https://local.yahoo.com/info-14319666-egg-you-diner-fort-lauderdale/</t>
  </si>
  <si>
    <t xml:space="preserve">P161</t>
  </si>
  <si>
    <t xml:space="preserve">Birch Patio Motel</t>
  </si>
  <si>
    <t xml:space="preserve">Motel pequeño</t>
  </si>
  <si>
    <t xml:space="preserve">Motel de la zona histórica de moteles</t>
  </si>
  <si>
    <t xml:space="preserve">https://www.birchpatio.com/contact-us</t>
  </si>
  <si>
    <t xml:space="preserve">617 N Birch Rd, Fort Lauderdale, FL 33304</t>
  </si>
  <si>
    <t xml:space="preserve">(954) 564-3205</t>
  </si>
  <si>
    <t xml:space="preserve">birchpatio.com</t>
  </si>
  <si>
    <t xml:space="preserve">https://www.facebook.com/p/Birch-Patio-Motel-100069655021722/</t>
  </si>
  <si>
    <t xml:space="preserve">https://www.yelp.com/biz/birch-patio-motel-fort-lauderdale</t>
  </si>
  <si>
    <t xml:space="preserve">P162</t>
  </si>
  <si>
    <t xml:space="preserve">Flamingo Fishing</t>
  </si>
  <si>
    <t xml:space="preserve">Charters de pesca</t>
  </si>
  <si>
    <t xml:space="preserve">Familiar desde 1970</t>
  </si>
  <si>
    <t xml:space="preserve">https://flamingofishing.com/</t>
  </si>
  <si>
    <t xml:space="preserve">flamingofishing.com</t>
  </si>
  <si>
    <t xml:space="preserve">sale del Bahia Mar Yachting Center</t>
  </si>
  <si>
    <t xml:space="preserve">P163</t>
  </si>
  <si>
    <t xml:space="preserve">Giralda Cleaners Inc</t>
  </si>
  <si>
    <t xml:space="preserve">Fundada en 1996; tres fichas en Yelp con direcciones distintas</t>
  </si>
  <si>
    <t xml:space="preserve">https://www.yelp.com/biz/giralda-cleaners-coral-gables-4</t>
  </si>
  <si>
    <t xml:space="preserve">123 Giralda Ave, Coral Gables, FL 33134</t>
  </si>
  <si>
    <t xml:space="preserve">(305) 443-5049</t>
  </si>
  <si>
    <t xml:space="preserve">giraldacleaners.com</t>
  </si>
  <si>
    <t xml:space="preserve">https://www.giraldacleaners.com/about/</t>
  </si>
  <si>
    <t xml:space="preserve">P164</t>
  </si>
  <si>
    <t xml:space="preserve">Botanica Teniola</t>
  </si>
  <si>
    <t xml:space="preserve">Botánica / artículos religiosos y mascotas</t>
  </si>
  <si>
    <t xml:space="preserve">45</t>
  </si>
  <si>
    <t xml:space="preserve">44-45 Comercio minorista</t>
  </si>
  <si>
    <t xml:space="preserve">Yelp activo 2026; dos páginas de Facebook distintas y fichas de terceros</t>
  </si>
  <si>
    <t xml:space="preserve">https://www.yelp.com/biz/botanica-teniola-hialeah-2</t>
  </si>
  <si>
    <t xml:space="preserve">4000 Palm Ave, Hialeah, FL 33012</t>
  </si>
  <si>
    <t xml:space="preserve">(305) 833-4292</t>
  </si>
  <si>
    <t xml:space="preserve">https://www.facebook.com/teniola.botanica/</t>
  </si>
  <si>
    <t xml:space="preserve">https://www.instagram.com/teniola_botanica/</t>
  </si>
  <si>
    <t xml:space="preserve">Botánicas y artículos religiosos</t>
  </si>
  <si>
    <t xml:space="preserve">P165</t>
  </si>
  <si>
    <t xml:space="preserve">Botanica Olocun</t>
  </si>
  <si>
    <t xml:space="preserve">Botánica</t>
  </si>
  <si>
    <t xml:space="preserve">Solo Yelp y directorios; sin dominio propio</t>
  </si>
  <si>
    <t xml:space="preserve">https://www.yelp.com/biz/botanica-olocun-hialeah</t>
  </si>
  <si>
    <t xml:space="preserve">1195 W 29th St, Hialeah, FL 33012</t>
  </si>
  <si>
    <t xml:space="preserve">(786) 333-5672</t>
  </si>
  <si>
    <t xml:space="preserve">P166</t>
  </si>
  <si>
    <t xml:space="preserve">Botanica Ache Iboru</t>
  </si>
  <si>
    <t xml:space="preserve">Solo Yelp; sin dominio propio</t>
  </si>
  <si>
    <t xml:space="preserve">https://www.yelp.com/biz/botanica-ache-iboru-hialeah</t>
  </si>
  <si>
    <t xml:space="preserve">1420 W 49th St, Hialeah, FL 33012</t>
  </si>
  <si>
    <t xml:space="preserve">(786) 548-6190</t>
  </si>
  <si>
    <t xml:space="preserve">P167</t>
  </si>
  <si>
    <t xml:space="preserve">Botanica Almacenes Inshe</t>
  </si>
  <si>
    <t xml:space="preserve">Botánica / almacén</t>
  </si>
  <si>
    <t xml:space="preserve">https://www.yelp.com/biz/botanica-inshe-hialeah</t>
  </si>
  <si>
    <t xml:space="preserve">5844 W 20th Ave, Hialeah, FL 33016</t>
  </si>
  <si>
    <t xml:space="preserve">(786) 955-3724</t>
  </si>
  <si>
    <t xml:space="preserve">P168</t>
  </si>
  <si>
    <t xml:space="preserve">Botanica Ibu Kole5</t>
  </si>
  <si>
    <t xml:space="preserve">https://www.yelp.com/biz/botanica-ibu-kole5-hialeah</t>
  </si>
  <si>
    <t xml:space="preserve">474 E 49th St, Hialeah, FL 33013</t>
  </si>
  <si>
    <t xml:space="preserve">(305) 456-2426</t>
  </si>
  <si>
    <t xml:space="preserve">P169</t>
  </si>
  <si>
    <t xml:space="preserve">Botanica Nena</t>
  </si>
  <si>
    <t xml:space="preserve">Botánica (6,000+ artículos, envíos)</t>
  </si>
  <si>
    <t xml:space="preserve">Más de 62 años (desde ~1964); Best Botanica Miami New Times 2012</t>
  </si>
  <si>
    <t xml:space="preserve">https://www.miaminewtimes.com/location/botanica-nena-6420256/</t>
  </si>
  <si>
    <t xml:space="preserve">902 NW 27th Ave, Miami, FL 33125</t>
  </si>
  <si>
    <t xml:space="preserve">(305) 642-4531</t>
  </si>
  <si>
    <t xml:space="preserve">botanicanena.com</t>
  </si>
  <si>
    <t xml:space="preserve">https://www.facebook.com/botanicanena1/</t>
  </si>
  <si>
    <t xml:space="preserve">https://www.yelp.com/biz/botanica-nena-miami-2</t>
  </si>
  <si>
    <t xml:space="preserve">https://www.bbb.org/us/fl/miami/profile/religious-goods/botanica-nena-0633-90212586</t>
  </si>
  <si>
    <t xml:space="preserve">P170</t>
  </si>
  <si>
    <t xml:space="preserve">Mi Casa Furniture</t>
  </si>
  <si>
    <t xml:space="preserve">Mueblería (muebles, colchones, pisos)</t>
  </si>
  <si>
    <t xml:space="preserve">44</t>
  </si>
  <si>
    <t xml:space="preserve">Web en /index.html (estructura estática antigua, no confirmado); fichas duplicadas en directorios</t>
  </si>
  <si>
    <t xml:space="preserve">https://www.yelp.com/biz/mi-casa-furniture-hialeah-2</t>
  </si>
  <si>
    <t xml:space="preserve">280 W 29th St, Hialeah, FL 33012</t>
  </si>
  <si>
    <t xml:space="preserve">(305) 888-4831</t>
  </si>
  <si>
    <t xml:space="preserve">micasamuebles.com</t>
  </si>
  <si>
    <t xml:space="preserve">https://www.yellowpages.com/hialeah-fl/mip/mi-casa-furniture-3828093</t>
  </si>
  <si>
    <t xml:space="preserve">revisar la web a mano</t>
  </si>
  <si>
    <t xml:space="preserve">Muebles y decoración</t>
  </si>
  <si>
    <t xml:space="preserve">P171</t>
  </si>
  <si>
    <t xml:space="preserve">Rana Furniture (Hialeah)</t>
  </si>
  <si>
    <t xml:space="preserve">Mueblería (cadena familiar)</t>
  </si>
  <si>
    <t xml:space="preserve">Familiar desde 2003, varias tiendas (también Sunrise)</t>
  </si>
  <si>
    <t xml:space="preserve">https://www.yelp.com/biz/rana-furniture-hialeah-3</t>
  </si>
  <si>
    <t xml:space="preserve">1460 W 49th St, Hialeah, FL 33012</t>
  </si>
  <si>
    <t xml:space="preserve">(305) 512-9320</t>
  </si>
  <si>
    <t xml:space="preserve">probablemente tiene web; sin verificar</t>
  </si>
  <si>
    <t xml:space="preserve">P172</t>
  </si>
  <si>
    <t xml:space="preserve">Tire Factory Outlet Inc</t>
  </si>
  <si>
    <t xml:space="preserve">Llantas y mecánica</t>
  </si>
  <si>
    <t xml:space="preserve">Fundada en 1973, familiar; técnicos ASE; solo Facebook y directorios</t>
  </si>
  <si>
    <t xml:space="preserve">https://www.yelp.com/biz/tire-factory-outlet-hialeah</t>
  </si>
  <si>
    <t xml:space="preserve">91 W 29th St, Hialeah, FL 33012</t>
  </si>
  <si>
    <t xml:space="preserve">(305) 888-2205</t>
  </si>
  <si>
    <t xml:space="preserve">https://www.facebook.com/TFOMIA/</t>
  </si>
  <si>
    <t xml:space="preserve">https://www.bbb.org/us/fl/hialeah/profile/tire-dealers/tire-factory-outlet-inc-0633-92018796</t>
  </si>
  <si>
    <t xml:space="preserve">P173</t>
  </si>
  <si>
    <t xml:space="preserve">Gladys Tire Corp</t>
  </si>
  <si>
    <t xml:space="preserve">Llantas nuevas y usadas, mecánica</t>
  </si>
  <si>
    <t xml:space="preserve">Familiar desde 2000; fichas duplicadas (una cerrada en 33013)</t>
  </si>
  <si>
    <t xml:space="preserve">https://www.yelp.com/biz/gladys-tires-hialeah-2</t>
  </si>
  <si>
    <t xml:space="preserve">1550 W 29th St #1, Hialeah, FL 33012</t>
  </si>
  <si>
    <t xml:space="preserve">(786) 456-5334</t>
  </si>
  <si>
    <t xml:space="preserve">gladystires.com</t>
  </si>
  <si>
    <t xml:space="preserve">https://www.facebook.com/gladystires/</t>
  </si>
  <si>
    <t xml:space="preserve">https://www.yellowpages.com/hialeah-fl/mip/gladys-tires-2334157</t>
  </si>
  <si>
    <t xml:space="preserve">fichas duplicadas</t>
  </si>
  <si>
    <t xml:space="preserve">P174</t>
  </si>
  <si>
    <t xml:space="preserve">Tires World Corp</t>
  </si>
  <si>
    <t xml:space="preserve">Llantas y taller</t>
  </si>
  <si>
    <t xml:space="preserve">Familiar ~9 años; 1,430 reseñas en Birdeye; teléfonos distintos por directorio</t>
  </si>
  <si>
    <t xml:space="preserve">https://reviews.birdeye.com/tires-world-corp-156071049544232</t>
  </si>
  <si>
    <t xml:space="preserve">460 W 83rd St, Hialeah, FL 33014</t>
  </si>
  <si>
    <t xml:space="preserve">(305) 928-1396</t>
  </si>
  <si>
    <t xml:space="preserve">tireswcorp.com</t>
  </si>
  <si>
    <t xml:space="preserve">https://www.instagram.com/tiresworldcorp/</t>
  </si>
  <si>
    <t xml:space="preserve">https://www.yelp.com/biz/tires-world-hialeah-2</t>
  </si>
  <si>
    <t xml:space="preserve">P175</t>
  </si>
  <si>
    <t xml:space="preserve">Home Hardware &amp; Supply Inc</t>
  </si>
  <si>
    <t xml:space="preserve">Ferretería (plomería, pintura, eléctrico)</t>
  </si>
  <si>
    <t xml:space="preserve">Fundada en 1956, familiar, 4 generaciones en el centro histórico</t>
  </si>
  <si>
    <t xml:space="preserve">https://www.southdadenewsleader.com/archives/home-hardware---a-fixture-in-homestead/article_efebc0c6-d95b-578d-a0e1-b6799b5b9805.html</t>
  </si>
  <si>
    <t xml:space="preserve">330 N Krome Ave, Homestead, FL 33030</t>
  </si>
  <si>
    <t xml:space="preserve">(305) 245-2930</t>
  </si>
  <si>
    <t xml:space="preserve">https://www.yelp.com/biz/home-hardware-and-supply-homestead-2</t>
  </si>
  <si>
    <t xml:space="preserve">https://www.yellowpages.com/homestead-fl/mip/home-hardware-supply-inc-10768996</t>
  </si>
  <si>
    <t xml:space="preserve">web sin verificar; muy buen candidato</t>
  </si>
  <si>
    <t xml:space="preserve">Ferreterías</t>
  </si>
  <si>
    <t xml:space="preserve">P176</t>
  </si>
  <si>
    <t xml:space="preserve">A &amp; W Complete Lawn Care Inc</t>
  </si>
  <si>
    <t xml:space="preserve">Paisajismo y mantenimiento de jardines</t>
  </si>
  <si>
    <t xml:space="preserve">56</t>
  </si>
  <si>
    <t xml:space="preserve">56 Servicios de apoyo (limpieza, paisajismo, seguridad)</t>
  </si>
  <si>
    <t xml:space="preserve">Desde 1997 (BBB A+); sin dominio propio</t>
  </si>
  <si>
    <t xml:space="preserve">https://www.bbb.org/us/fl/homestead/profile/lawn-maintenance/a-w-complete-lawn-care-inc-0633-7003076</t>
  </si>
  <si>
    <t xml:space="preserve">(305) 796-7940</t>
  </si>
  <si>
    <t xml:space="preserve">https://www.yellowpages.com/homestead-fl/mip/a-w-complete-lawn-care-inc-6053563</t>
  </si>
  <si>
    <t xml:space="preserve">Limpieza, jardinería y plagas</t>
  </si>
  <si>
    <t xml:space="preserve">P177</t>
  </si>
  <si>
    <t xml:space="preserve">McIntyre Maintenance Inc</t>
  </si>
  <si>
    <t xml:space="preserve">Paisajismo y preparación de unidades</t>
  </si>
  <si>
    <t xml:space="preserve">Desde 2004; contratista federal (CAGE 5PCA5); sin dominio propio</t>
  </si>
  <si>
    <t xml:space="preserve">https://www.bbb.org/us/fl/homestead/profile/landscape-maintenance/mcintyre-maintenance-inc-0633-90425590</t>
  </si>
  <si>
    <t xml:space="preserve">(305) 258-5590</t>
  </si>
  <si>
    <t xml:space="preserve">https://www.homeadvisor.com/sp/mcintyre-maintenance</t>
  </si>
  <si>
    <t xml:space="preserve">P178</t>
  </si>
  <si>
    <t xml:space="preserve">Rock &amp; Rose Lawn Care LLC</t>
  </si>
  <si>
    <t xml:space="preserve">Mantenimiento de césped</t>
  </si>
  <si>
    <t xml:space="preserve">Desde 2009 (BBB)</t>
  </si>
  <si>
    <t xml:space="preserve">https://www.bbb.org/us/fl/homestead/profile/landscape-contractors/rock-rose-lawn-care-llc-0633-92053672</t>
  </si>
  <si>
    <t xml:space="preserve">no encontrado teléfono; dirección omitida (posible residencia)</t>
  </si>
  <si>
    <t xml:space="preserve">P179</t>
  </si>
  <si>
    <t xml:space="preserve">Florida Pest Specialists Inc</t>
  </si>
  <si>
    <t xml:space="preserve">Control de plagas y fauna</t>
  </si>
  <si>
    <t xml:space="preserve">Fundada en 2014; BBB A+ desde 2017; solo directorios</t>
  </si>
  <si>
    <t xml:space="preserve">https://www.bbb.org/us/fl/miami/profile/pest-control/florida-pest-specialists-inc-0633-90332736</t>
  </si>
  <si>
    <t xml:space="preserve">(305) 256-2512</t>
  </si>
  <si>
    <t xml:space="preserve">https://www.yelp.com/biz/florida-pest-specialists-miami</t>
  </si>
  <si>
    <t xml:space="preserve">web no encontrada; solo ZIP 33177</t>
  </si>
  <si>
    <t xml:space="preserve">P180</t>
  </si>
  <si>
    <t xml:space="preserve">Floridian Pest Control</t>
  </si>
  <si>
    <t xml:space="preserve">Control de plagas</t>
  </si>
  <si>
    <t xml:space="preserve">Expediente BBB desde 2011; solo directorios</t>
  </si>
  <si>
    <t xml:space="preserve">https://www.bbb.org/us/fl/miami/profile/pest-control/floridian-pest-control-0633-90036096</t>
  </si>
  <si>
    <t xml:space="preserve">https://www.yelp.com/biz/floridian-pest-control-miami</t>
  </si>
  <si>
    <t xml:space="preserve">https://www.manta.com/c/mx47hs2/floridian-pest-control</t>
  </si>
  <si>
    <t xml:space="preserve">P181</t>
  </si>
  <si>
    <t xml:space="preserve">Safeguard Security International Inc</t>
  </si>
  <si>
    <t xml:space="preserve">Seguridad / alarmas</t>
  </si>
  <si>
    <t xml:space="preserve">31 años en operación (BBB); una sede; sin dominio propio</t>
  </si>
  <si>
    <t xml:space="preserve">https://www.bbb.org/us/fl/miramar/profile/burglar-alarm-systems/safeguard-security-international-inc-0633-92016539/</t>
  </si>
  <si>
    <t xml:space="preserve">12074 Miramar Pkwy, Miramar, FL 33025</t>
  </si>
  <si>
    <t xml:space="preserve">(800) 385-6177</t>
  </si>
  <si>
    <t xml:space="preserve">Seguridad</t>
  </si>
  <si>
    <t xml:space="preserve">P182</t>
  </si>
  <si>
    <t xml:space="preserve">Neighbors Moving Services Inc</t>
  </si>
  <si>
    <t xml:space="preserve">Mudanzas y almacenaje</t>
  </si>
  <si>
    <t xml:space="preserve">Familiar desde 2012; 64 reseñas; dos fichas en Yelp y 'web' en subdominio de directorio</t>
  </si>
  <si>
    <t xml:space="preserve">https://www.yelp.com/biz/neighbors-moving-and-storage-pompano-beach-3</t>
  </si>
  <si>
    <t xml:space="preserve">1780 NW 15th Ave, Ste 435, Pompano Beach, FL 33069</t>
  </si>
  <si>
    <t xml:space="preserve">(954) 861-1196</t>
  </si>
  <si>
    <t xml:space="preserve">https://www.bbb.org/us/fl/pompano-beach/profile/moving-companies/neighbors-moving-services-inc-0633-90059835</t>
  </si>
  <si>
    <t xml:space="preserve">P183</t>
  </si>
  <si>
    <t xml:space="preserve">Nana's Child Care Learning Center Inc</t>
  </si>
  <si>
    <t xml:space="preserve">Guardería / VPK</t>
  </si>
  <si>
    <t xml:space="preserve">61</t>
  </si>
  <si>
    <t xml:space="preserve">61 Educación</t>
  </si>
  <si>
    <t xml:space="preserve">Licencia desde 2009 (C11MD1765), 60 niños; solo Facebook y directorios con direcciones duplicadas</t>
  </si>
  <si>
    <t xml:space="preserve">https://childcarecenter.us/provider_detail/nanas_child_care_inc_hialeah_fl</t>
  </si>
  <si>
    <t xml:space="preserve">3521 E 4th Ave, Hialeah, FL 33013</t>
  </si>
  <si>
    <t xml:space="preserve">(305) 836-0116</t>
  </si>
  <si>
    <t xml:space="preserve">https://www.facebook.com/p/Nanas-Child-Care-Learning-Center-Inc-100057056304794/</t>
  </si>
  <si>
    <t xml:space="preserve">https://www.yelp.com/biz/nanas-child-care-hialeah</t>
  </si>
  <si>
    <t xml:space="preserve">web no encontrada; centro con licencia</t>
  </si>
  <si>
    <t xml:space="preserve">Educación y academias</t>
  </si>
  <si>
    <t xml:space="preserve">P184</t>
  </si>
  <si>
    <t xml:space="preserve">A-1 Mirta Driving School</t>
  </si>
  <si>
    <t xml:space="preserve">Autoescuela</t>
  </si>
  <si>
    <t xml:space="preserve">Establecida en 1985; 1-4 empleados (Buzzfile); fichas duplicadas en Manta</t>
  </si>
  <si>
    <t xml:space="preserve">https://www.buzzfile.com/business/A-1-Mirta-Driving-School-305-836-6681</t>
  </si>
  <si>
    <t xml:space="preserve">4501 Palm Ave, Ste 202, Hialeah, FL 33012</t>
  </si>
  <si>
    <t xml:space="preserve">(305) 836-6681</t>
  </si>
  <si>
    <t xml:space="preserve">https://www.yelp.com/biz/a-1-mirta-driving-school-hialeah</t>
  </si>
  <si>
    <t xml:space="preserve">P185</t>
  </si>
  <si>
    <t xml:space="preserve">24 Hour Traffic &amp; Driving School</t>
  </si>
  <si>
    <t xml:space="preserve">Autoescuela / curso de tránsito</t>
  </si>
  <si>
    <t xml:space="preserve">Establecida en 2011 (Yelp)</t>
  </si>
  <si>
    <t xml:space="preserve">https://www.yelp.com/biz/24-hour-traffic-and-driving-school-hialeah</t>
  </si>
  <si>
    <t xml:space="preserve">2005 W 62nd St, Hialeah, FL</t>
  </si>
  <si>
    <t xml:space="preserve">teléfono no confirmado</t>
  </si>
  <si>
    <t xml:space="preserve">P186</t>
  </si>
  <si>
    <t xml:space="preserve">Wise Choice Tutoring Center Inc</t>
  </si>
  <si>
    <t xml:space="preserve">Tutorías K-12 y SAT/ACT</t>
  </si>
  <si>
    <t xml:space="preserve">Fundado en 2003; web en http:// con texto 'Our 20th Year' desactualizado</t>
  </si>
  <si>
    <t xml:space="preserve">http://www.wisechoicetutoring.com/</t>
  </si>
  <si>
    <t xml:space="preserve">10481 N Kendall Dr, Ste D200, Miami, FL 33176</t>
  </si>
  <si>
    <t xml:space="preserve">(305) 630-3600</t>
  </si>
  <si>
    <t xml:space="preserve">wisechoicetutoring.com</t>
  </si>
  <si>
    <t xml:space="preserve">https://www.facebook.com/wisechoicetutoringKENDALL/</t>
  </si>
  <si>
    <t xml:space="preserve">https://www.yelp.com/biz/wise-choice-tutoring-center-miami</t>
  </si>
  <si>
    <t xml:space="preserve">P187</t>
  </si>
  <si>
    <t xml:space="preserve">Music Legacies</t>
  </si>
  <si>
    <t xml:space="preserve">Pembroke Pines</t>
  </si>
  <si>
    <t xml:space="preserve">Academia de música</t>
  </si>
  <si>
    <t xml:space="preserve">Solo redes y directorios; sin dominio propio</t>
  </si>
  <si>
    <t xml:space="preserve">https://www.yelp.com/biz/music-legacies-pembroke-pines</t>
  </si>
  <si>
    <t xml:space="preserve">6941 SW 196th Ave, Suite 12, Pembroke Pines, FL 33029</t>
  </si>
  <si>
    <t xml:space="preserve">(954) 507-7364</t>
  </si>
  <si>
    <t xml:space="preserve">https://www.facebook.com/MusicLegacies/</t>
  </si>
  <si>
    <t xml:space="preserve">https://www.instagram.com/musiclegacies/</t>
  </si>
  <si>
    <t xml:space="preserve">Música y entretenimiento</t>
  </si>
  <si>
    <t xml:space="preserve">P188</t>
  </si>
  <si>
    <t xml:space="preserve">Music Tech Studios Inc</t>
  </si>
  <si>
    <t xml:space="preserve">Escuela de música</t>
  </si>
  <si>
    <t xml:space="preserve">Establecida en 2000; teléfonos distintos por directorio</t>
  </si>
  <si>
    <t xml:space="preserve">https://www.yelp.com/biz/music-tech-studios-pembroke-pines</t>
  </si>
  <si>
    <t xml:space="preserve">18251 Pines Blvd, Pembroke Pines, FL 33029</t>
  </si>
  <si>
    <t xml:space="preserve">(954) 621-1398</t>
  </si>
  <si>
    <t xml:space="preserve">musictechstudios.com</t>
  </si>
  <si>
    <t xml:space="preserve">https://www.facebook.com/MusicTechStudios/</t>
  </si>
  <si>
    <t xml:space="preserve">https://musictechstudios.com/</t>
  </si>
  <si>
    <t xml:space="preserve">P189</t>
  </si>
  <si>
    <t xml:space="preserve">The Hit Music Studio</t>
  </si>
  <si>
    <t xml:space="preserve">Estudio y academia de música</t>
  </si>
  <si>
    <t xml:space="preserve">Establecido en 2007 (Yelp)</t>
  </si>
  <si>
    <t xml:space="preserve">https://www.yelp.com/biz/the-hit-music-studio-pembroke-pines-pembroke-pines</t>
  </si>
  <si>
    <t xml:space="preserve">faltan dirección y teléfono</t>
  </si>
  <si>
    <t xml:space="preserve">P190</t>
  </si>
  <si>
    <t xml:space="preserve">La Belle Beauty School Inc</t>
  </si>
  <si>
    <t xml:space="preserve">Escuela de belleza y cosmetología</t>
  </si>
  <si>
    <t xml:space="preserve">Desde 1976; licencia CIE #1116</t>
  </si>
  <si>
    <t xml:space="preserve">https://labellebeauty.net/contact-us/la-belle-school-hialeah</t>
  </si>
  <si>
    <t xml:space="preserve">1495 W 49th St, Hialeah, FL 33012</t>
  </si>
  <si>
    <t xml:space="preserve">(305) 558-0562</t>
  </si>
  <si>
    <t xml:space="preserve">labellebeauty.net</t>
  </si>
  <si>
    <t xml:space="preserve">https://www.facebook.com/LaBelleSchools</t>
  </si>
  <si>
    <t xml:space="preserve">https://www.yelp.com/biz/la-belle-beauty-school-hialeah</t>
  </si>
  <si>
    <t xml:space="preserve">P191</t>
  </si>
  <si>
    <t xml:space="preserve">Beauty Schools of America (Hialeah)</t>
  </si>
  <si>
    <t xml:space="preserve">Escuela de belleza</t>
  </si>
  <si>
    <t xml:space="preserve">Establecida en 1989; licencia CIE, acreditada COE</t>
  </si>
  <si>
    <t xml:space="preserve">https://www.yelp.com/biz/beauty-schools-of-america-hialeah</t>
  </si>
  <si>
    <t xml:space="preserve">P192</t>
  </si>
  <si>
    <t xml:space="preserve">Metro Traffic School</t>
  </si>
  <si>
    <t xml:space="preserve">Autoescuela / escuela de tránsito</t>
  </si>
  <si>
    <t xml:space="preserve">Desde 1989; varias sedes</t>
  </si>
  <si>
    <t xml:space="preserve">https://www.bbb.org/us/fl/miami/profile/driving-lessons/metro-traffic-school-0633-20002069</t>
  </si>
  <si>
    <t xml:space="preserve">metrotrafficschool.com</t>
  </si>
  <si>
    <t xml:space="preserve">https://www.facebook.com/MetroTrafficSchool/</t>
  </si>
  <si>
    <t xml:space="preserve">P193</t>
  </si>
  <si>
    <t xml:space="preserve">Al's Auto Service Center</t>
  </si>
  <si>
    <t xml:space="preserve">Miami Gardens</t>
  </si>
  <si>
    <t xml:space="preserve">Taller mecánico y llantas</t>
  </si>
  <si>
    <t xml:space="preserve">Operando desde 1994; licencia FDACS MV20456</t>
  </si>
  <si>
    <t xml:space="preserve">https://www.bbb.org/us/fl/miami-gardens/profile/auto-repair/als-auto-service-inc-0633-90086392</t>
  </si>
  <si>
    <t xml:space="preserve">17501 NW 27th Ave, Miami Gardens, FL 33056</t>
  </si>
  <si>
    <t xml:space="preserve">(305) 625-7041</t>
  </si>
  <si>
    <t xml:space="preserve">alsautoserviceinc.com</t>
  </si>
  <si>
    <t xml:space="preserve">https://www.yelp.com/biz/als-auto-service-center-miami-gardens</t>
  </si>
  <si>
    <t xml:space="preserve">https://alsautoserviceinc.com/contact/</t>
  </si>
  <si>
    <t xml:space="preserve">P194</t>
  </si>
  <si>
    <t xml:space="preserve">Elio's Locksmith</t>
  </si>
  <si>
    <t xml:space="preserve">Sweetwater</t>
  </si>
  <si>
    <t xml:space="preserve">Cerrajería residencial, comercial y automotriz</t>
  </si>
  <si>
    <t xml:space="preserve">Familiar, más de 45 años (desde ~1980); tienda física</t>
  </si>
  <si>
    <t xml:space="preserve">https://www.yelp.com/biz/elios-locksmith-miami-2</t>
  </si>
  <si>
    <t xml:space="preserve">11345 W Flagler St, Miami, FL 33174</t>
  </si>
  <si>
    <t xml:space="preserve">(305) 559-5000</t>
  </si>
  <si>
    <t xml:space="preserve">elioslocksmith.com</t>
  </si>
  <si>
    <t xml:space="preserve">https://www.elioslocksmith.com/contact-form/</t>
  </si>
  <si>
    <t xml:space="preserve">confirmar si está dentro de Sweetwater</t>
  </si>
  <si>
    <t xml:space="preserve">Reparación y servicios técnicos</t>
  </si>
  <si>
    <t xml:space="preserve">P195</t>
  </si>
  <si>
    <t xml:space="preserve">Hadley Davis Funeral Home</t>
  </si>
  <si>
    <t xml:space="preserve">Funeraria (2 sedes)</t>
  </si>
  <si>
    <t xml:space="preserve">Familiar, 2 sedes; dos dominios activos en paralelo</t>
  </si>
  <si>
    <t xml:space="preserve">https://hadleydavisfuneralhome.com/about-us/</t>
  </si>
  <si>
    <t xml:space="preserve">16505 NW 27th Ave, Miami Gardens, FL 33054</t>
  </si>
  <si>
    <t xml:space="preserve">(305) 816-6862</t>
  </si>
  <si>
    <t xml:space="preserve">hadleydavisfh.com</t>
  </si>
  <si>
    <t xml:space="preserve">https://www.facebook.com/HadleyDavisFHMAIN/</t>
  </si>
  <si>
    <t xml:space="preserve">https://everloved.com/funeral-homes/FL/miami-gardens/hadley-davis-funeral-home-miami-gardens-fl-33054/</t>
  </si>
  <si>
    <t xml:space="preserve">Funerarias</t>
  </si>
  <si>
    <t xml:space="preserve">P196</t>
  </si>
  <si>
    <t xml:space="preserve">Oasis Travel and Tours Inc</t>
  </si>
  <si>
    <t xml:space="preserve">Agencia de viajes</t>
  </si>
  <si>
    <t xml:space="preserve">Más de 30 años (desde ~1995); Google Sites + dominio con otra dirección</t>
  </si>
  <si>
    <t xml:space="preserve">https://www.bbb.org/us/fl/coral-gables/profile/travel-agency/oasis-travel-and-tours-inc-0633-92004092</t>
  </si>
  <si>
    <t xml:space="preserve">114 Madeira Ave, Coral Gables, FL 33134</t>
  </si>
  <si>
    <t xml:space="preserve">(305) 446-7779</t>
  </si>
  <si>
    <t xml:space="preserve">https://www.facebook.com/p/Oasis-Travel-Tours-100092281502112/</t>
  </si>
  <si>
    <t xml:space="preserve">https://www.yelp.com/biz/oasis-travel-and-tours-coral-gables</t>
  </si>
  <si>
    <t xml:space="preserve">dominio sin confirmar</t>
  </si>
  <si>
    <t xml:space="preserve">Viajes y turismo</t>
  </si>
  <si>
    <t xml:space="preserve">P197</t>
  </si>
  <si>
    <t xml:space="preserve">Total Travel Marine</t>
  </si>
  <si>
    <t xml:space="preserve">Agencia de viajes para tripulaciones y cruceros</t>
  </si>
  <si>
    <t xml:space="preserve">Fundada en 1989; ~35 empleados (estimado)</t>
  </si>
  <si>
    <t xml:space="preserve">https://www.totaltravelmarine.com/about/</t>
  </si>
  <si>
    <t xml:space="preserve">2332 Galiano St Ste 124, Coral Gables, FL 33134</t>
  </si>
  <si>
    <t xml:space="preserve">(305) 817-9339</t>
  </si>
  <si>
    <t xml:space="preserve">totaltravelmarine.com</t>
  </si>
  <si>
    <t xml:space="preserve">https://www.yellowpages.com/coral-gables-fl/mip/total-travel-marine-465681415</t>
  </si>
  <si>
    <t xml:space="preserve">P198</t>
  </si>
  <si>
    <t xml:space="preserve">Cameron Law Group</t>
  </si>
  <si>
    <t xml:space="preserve">Tamarac</t>
  </si>
  <si>
    <t xml:space="preserve">Bufete de lesiones personales y accidentes</t>
  </si>
  <si>
    <t xml:space="preserve">Fundado en 2006</t>
  </si>
  <si>
    <t xml:space="preserve">https://lawyers.findlaw.com/profile/view/5159008_1</t>
  </si>
  <si>
    <t xml:space="preserve">8010 N University Dr, Floor 2, Tamarac, FL 33321</t>
  </si>
  <si>
    <t xml:space="preserve">(954) 472-5645</t>
  </si>
  <si>
    <t xml:space="preserve">cameronlawgroup.com</t>
  </si>
  <si>
    <t xml:space="preserve">https://www.facebook.com/p/Cameron-Law-Group-100057515346188/</t>
  </si>
  <si>
    <t xml:space="preserve">https://www.yelp.com/biz/cameron-law-group-tamarac</t>
  </si>
  <si>
    <t xml:space="preserve">https://cameronlawgroup.com/contact-us/</t>
  </si>
  <si>
    <t xml:space="preserve">P199</t>
  </si>
  <si>
    <t xml:space="preserve">Jeff Rogow Upholstery</t>
  </si>
  <si>
    <t xml:space="preserve">Margate</t>
  </si>
  <si>
    <t xml:space="preserve">Tapicería de muebles a medida</t>
  </si>
  <si>
    <t xml:space="preserve">Fundada en 1978 (Yellow Pages)</t>
  </si>
  <si>
    <t xml:space="preserve">https://www.yellowpages.com/coral-springs-fl/upholsterers</t>
  </si>
  <si>
    <t xml:space="preserve">5072 Coconut Creek Pkwy, Margate, FL 33063</t>
  </si>
  <si>
    <t xml:space="preserve">falta teléfono</t>
  </si>
  <si>
    <t xml:space="preserve">P200</t>
  </si>
  <si>
    <t xml:space="preserve">Eduardo's Jewelry &amp; Watch Repair Shop</t>
  </si>
  <si>
    <t xml:space="preserve">Joyería y reparación de relojes</t>
  </si>
  <si>
    <t xml:space="preserve">Fundada en 1993; 81 reseñas; web en subdominio de plantilla</t>
  </si>
  <si>
    <t xml:space="preserve">https://www.yelp.com/biz/eduardos-jewelry-and-watch-repair-shop-coral-gables</t>
  </si>
  <si>
    <t xml:space="preserve">3735 SW 8th St, Coral Gables, FL 33134</t>
  </si>
  <si>
    <t xml:space="preserve">(305) 445-3374</t>
  </si>
  <si>
    <t xml:space="preserve">eduardosjewelry.jewelershowcase.com</t>
  </si>
  <si>
    <t xml:space="preserve">https://www.facebook.com/eduardosjewelry/</t>
  </si>
  <si>
    <t xml:space="preserve">https://www.yasabe.com/en/miami-fl/d-692494424-eduardos-jewerly-and-watch-repair-jewelry-watches-service-repair.html</t>
  </si>
  <si>
    <t xml:space="preserve">Joyería y relojería</t>
  </si>
  <si>
    <t xml:space="preserve">P201</t>
  </si>
  <si>
    <t xml:space="preserve">King's Pawn</t>
  </si>
  <si>
    <t xml:space="preserve">Casa de empeño y compra de oro</t>
  </si>
  <si>
    <t xml:space="preserve">Solo Facebook y directorios; posible razón social ED AR USA LLC</t>
  </si>
  <si>
    <t xml:space="preserve">https://www.yelp.com/biz/kings-pawn-fort-lauderdale</t>
  </si>
  <si>
    <t xml:space="preserve">207 NW 7th Ave, Fort Lauderdale, FL 33311</t>
  </si>
  <si>
    <t xml:space="preserve">(754) 224-5777</t>
  </si>
  <si>
    <t xml:space="preserve">https://www.facebook.com/kingspawnfortlauderdale/</t>
  </si>
  <si>
    <t xml:space="preserve">https://www.pawnshops.net/store/Kings-Pawn-Shop/15974</t>
  </si>
  <si>
    <t xml:space="preserve">P202</t>
  </si>
  <si>
    <t xml:space="preserve">Albert's Fine Jewelers Inc</t>
  </si>
  <si>
    <t xml:space="preserve">Seybold</t>
  </si>
  <si>
    <t xml:space="preserve">Joyería fina, reparación y tasaciones</t>
  </si>
  <si>
    <t xml:space="preserve">Fundada en 2009; web solo por http</t>
  </si>
  <si>
    <t xml:space="preserve">https://www.yelp.com/biz/alberts-fine-jewelers-miami</t>
  </si>
  <si>
    <t xml:space="preserve">36 NE 1st St, Suite 108, Miami, FL 33132</t>
  </si>
  <si>
    <t xml:space="preserve">(305) 379-2000</t>
  </si>
  <si>
    <t xml:space="preserve">albertsfinejewelers.com</t>
  </si>
  <si>
    <t xml:space="preserve">https://seyboldjewelry.com/alberts-fine-jewelers/</t>
  </si>
  <si>
    <t xml:space="preserve">P203</t>
  </si>
  <si>
    <t xml:space="preserve">Miro's Watch Repair</t>
  </si>
  <si>
    <t xml:space="preserve">Reparación de relojes de alta gama</t>
  </si>
  <si>
    <t xml:space="preserve">30 años en Miami (desde ~1995); 52 reseñas</t>
  </si>
  <si>
    <t xml:space="preserve">https://www.yelp.com/biz/miros-watch-repair-miami</t>
  </si>
  <si>
    <t xml:space="preserve">36 NE 1st St, Suite 415, Miami, FL 33132</t>
  </si>
  <si>
    <t xml:space="preserve">(305) 371-5086</t>
  </si>
  <si>
    <t xml:space="preserve">watchrepairinmiamifl.com</t>
  </si>
  <si>
    <t xml:space="preserve">https://www.watchrepairinmiamifl.com/contact/</t>
  </si>
  <si>
    <t xml:space="preserve">P204</t>
  </si>
  <si>
    <t xml:space="preserve">S &amp; A Watch Repair Corp</t>
  </si>
  <si>
    <t xml:space="preserve">Reparación de relojes</t>
  </si>
  <si>
    <t xml:space="preserve">Registrada en 2006; solo Yelp y directorios</t>
  </si>
  <si>
    <t xml:space="preserve">https://www.yelp.com/biz/s-a-watch-repair-miami</t>
  </si>
  <si>
    <t xml:space="preserve">36 NE 1st St, Suite 646, Miami, FL 33132</t>
  </si>
  <si>
    <t xml:space="preserve">(305) 372-6262</t>
  </si>
  <si>
    <t xml:space="preserve">P205</t>
  </si>
  <si>
    <t xml:space="preserve">Nemaro Jewelers Inc</t>
  </si>
  <si>
    <t xml:space="preserve">Joyería, diamantes y relojes</t>
  </si>
  <si>
    <t xml:space="preserve">Desde 1970</t>
  </si>
  <si>
    <t xml:space="preserve">https://seyboldjewelry.com/nemaro-jewelers-inc/</t>
  </si>
  <si>
    <t xml:space="preserve">36 NE 1st St, Suite 135, Miami, FL 33132</t>
  </si>
  <si>
    <t xml:space="preserve">(305) 358-4399</t>
  </si>
  <si>
    <t xml:space="preserve">nemarojewelers.com</t>
  </si>
  <si>
    <t xml:space="preserve">https://www.instagram.com/nemarojewelers/</t>
  </si>
  <si>
    <t xml:space="preserve">https://www.yelp.com/biz/nemaro-jewelers-miami</t>
  </si>
  <si>
    <t xml:space="preserve">https://www.nemarojewelers.com/contact/</t>
  </si>
  <si>
    <t xml:space="preserve">P206</t>
  </si>
  <si>
    <t xml:space="preserve">Eyeglass Emporium</t>
  </si>
  <si>
    <t xml:space="preserve">Óptica familiar</t>
  </si>
  <si>
    <t xml:space="preserve">Desde 1969; web WordPress con título por defecto</t>
  </si>
  <si>
    <t xml:space="preserve">https://eyeglassemporiummiami.com/</t>
  </si>
  <si>
    <t xml:space="preserve">552 Arthur Godfrey Rd, Miami Beach, FL 33140</t>
  </si>
  <si>
    <t xml:space="preserve">(305) 534-2288</t>
  </si>
  <si>
    <t xml:space="preserve">eyeglassemporiummiami.com</t>
  </si>
  <si>
    <t xml:space="preserve">https://www.facebook.com/eyeglassemporium/</t>
  </si>
  <si>
    <t xml:space="preserve">https://www.yelp.com/biz/eyeglass-emporium-miami-beach</t>
  </si>
  <si>
    <t xml:space="preserve">https://eyeglassemporiummiami.com/contact-us/</t>
  </si>
  <si>
    <t xml:space="preserve">Óptica</t>
  </si>
  <si>
    <t xml:space="preserve">P207</t>
  </si>
  <si>
    <t xml:space="preserve">Exotic Eyewear Optical</t>
  </si>
  <si>
    <t xml:space="preserve">Óptica de gafas de diseñador</t>
  </si>
  <si>
    <t xml:space="preserve">55 reseñas; páginas .html estáticas, algunas por http</t>
  </si>
  <si>
    <t xml:space="preserve">https://www.yelp.com/biz/exotic-eyewear-optical-fort-lauderdale</t>
  </si>
  <si>
    <t xml:space="preserve">2501 N Federal Hwy, Fort Lauderdale, FL 33305</t>
  </si>
  <si>
    <t xml:space="preserve">(954) 567-4488</t>
  </si>
  <si>
    <t xml:space="preserve">exoticeyewearoptical.com</t>
  </si>
  <si>
    <t xml:space="preserve">https://www.facebook.com/eyewearopticalftlauderdale/</t>
  </si>
  <si>
    <t xml:space="preserve">https://exoticeyewearoptical.com/contact-us.html</t>
  </si>
  <si>
    <t xml:space="preserve">P208</t>
  </si>
  <si>
    <t xml:space="preserve">Lopez Optical Inc</t>
  </si>
  <si>
    <t xml:space="preserve">Óptica y optometría</t>
  </si>
  <si>
    <t xml:space="preserve">En Miami desde 1981; tres fichas en Yelp con nombres distintos</t>
  </si>
  <si>
    <t xml:space="preserve">https://www.yelp.com/biz/optica-lopez-miami</t>
  </si>
  <si>
    <t xml:space="preserve">1340 SW 8th St, Miami, FL 33135</t>
  </si>
  <si>
    <t xml:space="preserve">(305) 858-1326</t>
  </si>
  <si>
    <t xml:space="preserve">opticallopez.com</t>
  </si>
  <si>
    <t xml:space="preserve">https://www.facebook.com/p/Optica-Lopez-100066310637470/</t>
  </si>
  <si>
    <t xml:space="preserve">https://opticallopez.com/contact-us/</t>
  </si>
  <si>
    <t xml:space="preserve">P209</t>
  </si>
  <si>
    <t xml:space="preserve">Minebender Jewelers</t>
  </si>
  <si>
    <t xml:space="preserve">Familiar desde 1972; fichas duplicadas con nombres variados</t>
  </si>
  <si>
    <t xml:space="preserve">https://www.yelp.com/biz/minebender-jewelers-hollywood</t>
  </si>
  <si>
    <t xml:space="preserve">3251 Hollywood Blvd, Suite 450, Hollywood, FL 33021</t>
  </si>
  <si>
    <t xml:space="preserve">(954) 962-0771</t>
  </si>
  <si>
    <t xml:space="preserve">minebenderjewelers.com</t>
  </si>
  <si>
    <t xml:space="preserve">https://www.facebook.com/MinebenderJewelers/</t>
  </si>
  <si>
    <t xml:space="preserve">https://www.instagram.com/minebenderjewelers/</t>
  </si>
  <si>
    <t xml:space="preserve">https://jewelers.cmac.ws/minebender-jewelry/55656/</t>
  </si>
  <si>
    <t xml:space="preserve">P210</t>
  </si>
  <si>
    <t xml:space="preserve">Entonces Watch &amp; Jewelry Inc</t>
  </si>
  <si>
    <t xml:space="preserve">Reparación de relojes y joyas</t>
  </si>
  <si>
    <t xml:space="preserve">23 reseñas en Yelp</t>
  </si>
  <si>
    <t xml:space="preserve">https://www.yelp.com/biz/entonces-watch-and-jewelry-repair-aventura-2</t>
  </si>
  <si>
    <t xml:space="preserve">20445 Biscayne Blvd, H-3, Aventura, FL 33180</t>
  </si>
  <si>
    <t xml:space="preserve">(305) 454-9809</t>
  </si>
  <si>
    <t xml:space="preserve">entonceswatchandjewelry.com</t>
  </si>
  <si>
    <t xml:space="preserve">https://www.chamberofcommerce.com/business-directory/florida/aventura/watch-repair-service/2006700389-entonces-jewelry-and-watch-repair</t>
  </si>
  <si>
    <t xml:space="preserve">P211</t>
  </si>
  <si>
    <t xml:space="preserve">Carroll's Jewelers</t>
  </si>
  <si>
    <t xml:space="preserve">Joyería fina y a medida</t>
  </si>
  <si>
    <t xml:space="preserve">Fundada en 1928; en Las Olas desde 1961</t>
  </si>
  <si>
    <t xml:space="preserve">https://carrollsjewelers.com/pages/our-history</t>
  </si>
  <si>
    <t xml:space="preserve">915 E Las Olas Blvd, Fort Lauderdale, FL 33301</t>
  </si>
  <si>
    <t xml:space="preserve">(954) 463-3711</t>
  </si>
  <si>
    <t xml:space="preserve">carrollsjewelers.com</t>
  </si>
  <si>
    <t xml:space="preserve">https://www.linkedin.com/company/carrollsjewelers</t>
  </si>
  <si>
    <t xml:space="preserve">https://www.yelp.com/biz/carrolls-jewelers-fort-lauderdale</t>
  </si>
  <si>
    <t xml:space="preserve">https://carrollsjewelers.com/pages/contact-us</t>
  </si>
  <si>
    <t xml:space="preserve">P212</t>
  </si>
  <si>
    <t xml:space="preserve">Morningstar's Jewelers &amp; Pawnbrokers</t>
  </si>
  <si>
    <t xml:space="preserve">Joyería, empeño y relojes de lujo</t>
  </si>
  <si>
    <t xml:space="preserve">En el centro de Hollywood desde 1958</t>
  </si>
  <si>
    <t xml:space="preserve">https://www.yelp.com/biz/morningstars-jewelers-and-pawnbrokers-hollywood</t>
  </si>
  <si>
    <t xml:space="preserve">2000 Hollywood Blvd, Hollywood, FL 33020</t>
  </si>
  <si>
    <t xml:space="preserve">(954) 923-2372</t>
  </si>
  <si>
    <t xml:space="preserve">morningstarsjewelers.com</t>
  </si>
  <si>
    <t xml:space="preserve">https://www.facebook.com/MorningstarsJewelersPawnbrokers/</t>
  </si>
  <si>
    <t xml:space="preserve">https://morningstarsjewelers.com/pages/contact</t>
  </si>
  <si>
    <t xml:space="preserve">P213</t>
  </si>
  <si>
    <t xml:space="preserve">Dixie Pawn &amp; Jewelry</t>
  </si>
  <si>
    <t xml:space="preserve">Familiar, desde los años 80 (~1990)</t>
  </si>
  <si>
    <t xml:space="preserve">https://dixiepawnfl.com/about/</t>
  </si>
  <si>
    <t xml:space="preserve">2316 N Dixie Hwy, Hollywood, FL 33020</t>
  </si>
  <si>
    <t xml:space="preserve">(954) 927-8400</t>
  </si>
  <si>
    <t xml:space="preserve">dixiepawnfl.com</t>
  </si>
  <si>
    <t xml:space="preserve">https://www.facebook.com/dixiepawnfl/</t>
  </si>
  <si>
    <t xml:space="preserve">https://www.yelp.com/biz/dixie-pawn-and-jewelry-hollywood</t>
  </si>
  <si>
    <t xml:space="preserve">https://dixiepawnfl.com/</t>
  </si>
  <si>
    <t xml:space="preserve">P214</t>
  </si>
  <si>
    <t xml:space="preserve">Lendoiro Jewelry &amp; Pawn Shop</t>
  </si>
  <si>
    <t xml:space="preserve">West Flagler</t>
  </si>
  <si>
    <t xml:space="preserve">Joyería familiar y empeño</t>
  </si>
  <si>
    <t xml:space="preserve">En su local desde 1983; solo subdominio gratuito de directorio</t>
  </si>
  <si>
    <t xml:space="preserve">https://www.yelp.com/biz/lendoiro-jewelry-and-pawn-shop-miami</t>
  </si>
  <si>
    <t xml:space="preserve">7151 W Flagler St, Miami, FL 33144</t>
  </si>
  <si>
    <t xml:space="preserve">(305) 264-7929</t>
  </si>
  <si>
    <t xml:space="preserve">lendoirojewelryandpawnshop.localsearch.com</t>
  </si>
  <si>
    <t xml:space="preserve">https://www.facebook.com/p/Lendoiro-Jewelry-Pawn-Shop-100080149462138/</t>
  </si>
  <si>
    <t xml:space="preserve">https://www.instagram.com/joyerialendoiromiami/</t>
  </si>
  <si>
    <t xml:space="preserve">https://www.pawnshops.net/store/Lendoiro-Jewelry-and-Pawn-Shop/8861</t>
  </si>
  <si>
    <t xml:space="preserve">sin dominio propio</t>
  </si>
  <si>
    <t xml:space="preserve">P215</t>
  </si>
  <si>
    <t xml:space="preserve">Parko Jewelry &amp; Pawn</t>
  </si>
  <si>
    <t xml:space="preserve">Empeño, oro, diamantes y Rolex</t>
  </si>
  <si>
    <t xml:space="preserve">Fundada en 1980</t>
  </si>
  <si>
    <t xml:space="preserve">https://www.yelp.com/biz/parko-jewelry-and-pawn-miami</t>
  </si>
  <si>
    <t xml:space="preserve">1701 W Flagler St, Miami, FL 33135</t>
  </si>
  <si>
    <t xml:space="preserve">(305) 541-5959</t>
  </si>
  <si>
    <t xml:space="preserve">parkojewelry.com</t>
  </si>
  <si>
    <t xml:space="preserve">https://www.facebook.com/parkojewelry/</t>
  </si>
  <si>
    <t xml:space="preserve">https://citytocitymarket.com/parko-jewelry-and-pawn-miami</t>
  </si>
  <si>
    <t xml:space="preserve">P216</t>
  </si>
  <si>
    <t xml:space="preserve">El Diamante Jewelry &amp; Pawn</t>
  </si>
  <si>
    <t xml:space="preserve">Empeño y joyería familiar</t>
  </si>
  <si>
    <t xml:space="preserve">35 años en el negocio (desde ~1990); dos dominios y nombres variados</t>
  </si>
  <si>
    <t xml:space="preserve">https://www.yelp.com/biz/el-diamante-jewelry-and-pawn-miami</t>
  </si>
  <si>
    <t xml:space="preserve">2300 W Flagler St, Miami, FL 33135</t>
  </si>
  <si>
    <t xml:space="preserve">(305) 541-1658</t>
  </si>
  <si>
    <t xml:space="preserve">eldiamantepawn.com</t>
  </si>
  <si>
    <t xml:space="preserve">https://www.facebook.com/p/El-Diamant%C3%A9-Jewelry-Pawn-100063495432776/</t>
  </si>
  <si>
    <t xml:space="preserve">https://www.bbb.org/us/fl/miami/profile/pawnbroker/el-diamante-jewelry-pawn-0633-92004423</t>
  </si>
  <si>
    <t xml:space="preserve">P217</t>
  </si>
  <si>
    <t xml:space="preserve">Team Perfume Center</t>
  </si>
  <si>
    <t xml:space="preserve">Downtown</t>
  </si>
  <si>
    <t xml:space="preserve">Perfumería de fragancias de diseñador</t>
  </si>
  <si>
    <t xml:space="preserve">Solo subdominio gratuito de directorio</t>
  </si>
  <si>
    <t xml:space="preserve">https://m.m.yelp.com/biz/team-perfume-center-miami-2</t>
  </si>
  <si>
    <t xml:space="preserve">73 E Flagler St, Miami, FL 33131</t>
  </si>
  <si>
    <t xml:space="preserve">(305) 577-4862</t>
  </si>
  <si>
    <t xml:space="preserve">teamperfumecenter.localsearch.com</t>
  </si>
  <si>
    <t xml:space="preserve">https://www.superpages.com/miami-fl/bpp/team-perfume-center-8967915</t>
  </si>
  <si>
    <t xml:space="preserve">Perfumería y cosmética</t>
  </si>
  <si>
    <t xml:space="preserve">P218</t>
  </si>
  <si>
    <t xml:space="preserve">Bellis Perfumes</t>
  </si>
  <si>
    <t xml:space="preserve">Perfumería minorista y mayorista</t>
  </si>
  <si>
    <t xml:space="preserve">Fundada en 2007</t>
  </si>
  <si>
    <t xml:space="preserve">https://www.yelp.com/biz/bellis-perfumes-miami-5</t>
  </si>
  <si>
    <t xml:space="preserve">10780 W Flagler St, Miami, FL 33174</t>
  </si>
  <si>
    <t xml:space="preserve">(305) 228-0383</t>
  </si>
  <si>
    <t xml:space="preserve">bellisperfumes.com</t>
  </si>
  <si>
    <t xml:space="preserve">https://www.facebook.com/bellisperfumes/</t>
  </si>
  <si>
    <t xml:space="preserve">https://www.instagram.com/bellisfragances/</t>
  </si>
  <si>
    <t xml:space="preserve">P219</t>
  </si>
  <si>
    <t xml:space="preserve">La Belle Perfume Distributors</t>
  </si>
  <si>
    <t xml:space="preserve">Mayorista de fragancias</t>
  </si>
  <si>
    <t xml:space="preserve">Mayorista desde 1985; 11-50 empleados (ZoomInfo)</t>
  </si>
  <si>
    <t xml:space="preserve">https://labelleperfumes.com/</t>
  </si>
  <si>
    <t xml:space="preserve">2319 NW 20th St, Miami, FL 33142</t>
  </si>
  <si>
    <t xml:space="preserve">(305) 633-1946</t>
  </si>
  <si>
    <t xml:space="preserve">labelleperfumes.com</t>
  </si>
  <si>
    <t xml:space="preserve">https://www.facebook.com/LaBellePerfumeDistributors/</t>
  </si>
  <si>
    <t xml:space="preserve">https://www.linkedin.com/company/la-belle-perfume-distributors</t>
  </si>
  <si>
    <t xml:space="preserve">https://www.yelp.com/biz/la-belle-perfume-distributors-miami</t>
  </si>
  <si>
    <t xml:space="preserve">https://www.bbb.org/us/fl/miami/profile/perfume/la-belle-distributors-inc-0633-90153178</t>
  </si>
  <si>
    <t xml:space="preserve">P220</t>
  </si>
  <si>
    <t xml:space="preserve">B.O.S. Jewelers Inc</t>
  </si>
  <si>
    <t xml:space="preserve">Joyería fina</t>
  </si>
  <si>
    <t xml:space="preserve">https://seyboldjewelry.com/bos-jewelers-inc/</t>
  </si>
  <si>
    <t xml:space="preserve">36 NE 1st St, Miami, FL 33132</t>
  </si>
  <si>
    <t xml:space="preserve">(305) 374-6950</t>
  </si>
  <si>
    <t xml:space="preserve">bosjewelers.com</t>
  </si>
  <si>
    <t xml:space="preserve">https://www.yelp.com/biz/bos-jewelers-miami</t>
  </si>
  <si>
    <t xml:space="preserve">https://www.alignable.com/miami-fl/b-o-s-jewelers-inc</t>
  </si>
  <si>
    <t xml:space="preserve">confirmar suite</t>
  </si>
  <si>
    <t xml:space="preserve">P221</t>
  </si>
  <si>
    <t xml:space="preserve">Le Look Optical Inc</t>
  </si>
  <si>
    <t xml:space="preserve">Óptica independiente</t>
  </si>
  <si>
    <t xml:space="preserve">Establecida en 1990; sin web propia</t>
  </si>
  <si>
    <t xml:space="preserve">https://www.yelp.com/biz/lelook-optical-north-miami</t>
  </si>
  <si>
    <t xml:space="preserve">486 NE 125th St, North Miami, FL 33161</t>
  </si>
  <si>
    <t xml:space="preserve">(305) 892-1065</t>
  </si>
  <si>
    <t xml:space="preserve">https://www.yellowpages.com/north-miami-fl/mip/le-look-optical-inc-11109334</t>
  </si>
  <si>
    <t xml:space="preserve">P222</t>
  </si>
  <si>
    <t xml:space="preserve">Home Optical</t>
  </si>
  <si>
    <t xml:space="preserve">Abrió en 2006; varios dominios y subdominio de directorio</t>
  </si>
  <si>
    <t xml:space="preserve">https://www.yelp.com/biz/home-optical-miami-beach</t>
  </si>
  <si>
    <t xml:space="preserve">6989 Collins Ave, Miami Beach, FL 33141</t>
  </si>
  <si>
    <t xml:space="preserve">(305) 861-0018</t>
  </si>
  <si>
    <t xml:space="preserve">homeoptical.shop</t>
  </si>
  <si>
    <t xml:space="preserve">https://www.facebook.com/homeopticaUSA/</t>
  </si>
  <si>
    <t xml:space="preserve">https://home-optical.miamibeachdirect.us/contact/</t>
  </si>
  <si>
    <t xml:space="preserve">P223</t>
  </si>
  <si>
    <t xml:space="preserve">Jae's Jewelers LLC</t>
  </si>
  <si>
    <t xml:space="preserve">Joyería fina y reparación de relojes</t>
  </si>
  <si>
    <t xml:space="preserve">Fundada en 1945, tercera generación; 1-10 empleados</t>
  </si>
  <si>
    <t xml:space="preserve">https://www.jaesjewelers.com/</t>
  </si>
  <si>
    <t xml:space="preserve">237 Miracle Mile, Coral Gables, FL 33134</t>
  </si>
  <si>
    <t xml:space="preserve">(305) 443-7724</t>
  </si>
  <si>
    <t xml:space="preserve">jaesjewelers.com</t>
  </si>
  <si>
    <t xml:space="preserve">https://www.facebook.com/jaesjewelers/</t>
  </si>
  <si>
    <t xml:space="preserve">https://www.yelp.com/biz/jaes-jewelers-coral-gables</t>
  </si>
  <si>
    <t xml:space="preserve">https://www.jaesjewelers.com/pages/contact-us</t>
  </si>
  <si>
    <t xml:space="preserve">P224</t>
  </si>
  <si>
    <t xml:space="preserve">Richard's Gems &amp; Jewelry</t>
  </si>
  <si>
    <t xml:space="preserve">Joyería, diamantes y piedras preciosas</t>
  </si>
  <si>
    <t xml:space="preserve">Desde 1984; 228 reseñas</t>
  </si>
  <si>
    <t xml:space="preserve">https://www.yelp.com/biz/richards-gems-and-jewelry-miami</t>
  </si>
  <si>
    <t xml:space="preserve">33 E Flagler St, Miami, FL 33131</t>
  </si>
  <si>
    <t xml:space="preserve">(305) 379-3800</t>
  </si>
  <si>
    <t xml:space="preserve">richardsjewelry.com</t>
  </si>
  <si>
    <t xml:space="preserve">https://www.facebook.com/RichardsJewelryMiami/</t>
  </si>
  <si>
    <t xml:space="preserve">https://www.linkedin.com/company/richards-gems-jewelry</t>
  </si>
  <si>
    <t xml:space="preserve">https://www.bbb.org/us/fl/miami/profile/jewelry-stores/richards-gems-jewelry-0633-5003813</t>
  </si>
  <si>
    <t xml:space="preserve">P225</t>
  </si>
  <si>
    <t xml:space="preserve">Watch Repair Inc</t>
  </si>
  <si>
    <t xml:space="preserve">Bird Road</t>
  </si>
  <si>
    <t xml:space="preserve">Más de 30 años (desde ~1995); solo subdominio de directorio</t>
  </si>
  <si>
    <t xml:space="preserve">https://www.yelp.com/biz/watch-repair-miami-3</t>
  </si>
  <si>
    <t xml:space="preserve">8345 Bird Rd, Miami, FL 33155</t>
  </si>
  <si>
    <t xml:space="preserve">(305) 485-9555</t>
  </si>
  <si>
    <t xml:space="preserve">watch-repair.miamidirect.us</t>
  </si>
  <si>
    <t xml:space="preserve">https://www.superpages.com/miami-fl/bpp/watch-repair-inc-13696555</t>
  </si>
  <si>
    <t xml:space="preserve">P226</t>
  </si>
  <si>
    <t xml:space="preserve">Kendall Jewelry</t>
  </si>
  <si>
    <t xml:space="preserve">Joyería, empeño y reparación</t>
  </si>
  <si>
    <t xml:space="preserve">Establecida en 1990; mismo teléfono bajo tres nombres</t>
  </si>
  <si>
    <t xml:space="preserve">https://www.yelp.com/biz/kendall-jewelry-miami</t>
  </si>
  <si>
    <t xml:space="preserve">14706 SW 56th St, Ste 23, Miami, FL 33185</t>
  </si>
  <si>
    <t xml:space="preserve">(305) 383-1700</t>
  </si>
  <si>
    <t xml:space="preserve">https://www.pawnshops.net/store/Kendale-Jewelry-and-Pawn-II/14659</t>
  </si>
  <si>
    <t xml:space="preserve">P227</t>
  </si>
  <si>
    <t xml:space="preserve">Chantilly Jewels</t>
  </si>
  <si>
    <t xml:space="preserve">Joyería familiar y diseño a medida</t>
  </si>
  <si>
    <t xml:space="preserve">Establecida en 1992</t>
  </si>
  <si>
    <t xml:space="preserve">https://chantillyjewels.com/about-us/</t>
  </si>
  <si>
    <t xml:space="preserve">7161 SW 117th Ave, Miami, FL 33183</t>
  </si>
  <si>
    <t xml:space="preserve">(305) 271-7373</t>
  </si>
  <si>
    <t xml:space="preserve">chantillyjewels.com</t>
  </si>
  <si>
    <t xml:space="preserve">https://www.yelp.com/biz/chantilly-jewels-miami</t>
  </si>
  <si>
    <t xml:space="preserve">https://chantillyjewels.com/contact/</t>
  </si>
  <si>
    <t xml:space="preserve">P228</t>
  </si>
  <si>
    <t xml:space="preserve">We Buy Gold NMB</t>
  </si>
  <si>
    <t xml:space="preserve">Compra de oro, plata y monedas</t>
  </si>
  <si>
    <t xml:space="preserve">Familiar, más de 25 años en el mismo local (desde ~2000)</t>
  </si>
  <si>
    <t xml:space="preserve">https://www.uscoinshows.com/dealers/fl/we-buy-gold-nmb</t>
  </si>
  <si>
    <t xml:space="preserve">1754 NE 163rd St, North Miami Beach, FL 33162</t>
  </si>
  <si>
    <t xml:space="preserve">(305) 989-6479</t>
  </si>
  <si>
    <t xml:space="preserve">webuygoldnmb.com</t>
  </si>
  <si>
    <t xml:space="preserve">https://www.yelp.com/biz/we-buy-gold-north-miami-beach-north-miami-beach</t>
  </si>
  <si>
    <t xml:space="preserve">https://www.webuygoldnmb.com/</t>
  </si>
  <si>
    <t xml:space="preserve">P229</t>
  </si>
  <si>
    <t xml:space="preserve">Classic Pawn &amp; Jewelry</t>
  </si>
  <si>
    <t xml:space="preserve">Familiar desde 1990</t>
  </si>
  <si>
    <t xml:space="preserve">https://www.classicpawn.com/about-us</t>
  </si>
  <si>
    <t xml:space="preserve">2720 W Broward Blvd, Fort Lauderdale, FL</t>
  </si>
  <si>
    <t xml:space="preserve">classicpawn.com</t>
  </si>
  <si>
    <t xml:space="preserve">https://www.yelp.com/biz/classic-pawn-and-jewelry-fort-lauderdale</t>
  </si>
  <si>
    <t xml:space="preserve">P230</t>
  </si>
  <si>
    <t xml:space="preserve">Carolina's Design &amp; Alterations</t>
  </si>
  <si>
    <t xml:space="preserve">Arreglos y confección a medida</t>
  </si>
  <si>
    <t xml:space="preserve">30 fotos en Yelp; sin dominio visible</t>
  </si>
  <si>
    <t xml:space="preserve">https://www.yelp.com/biz/carolinas-design-and-alterations-coral-gables</t>
  </si>
  <si>
    <t xml:space="preserve">145 Madeira Ave, Suite 202, Coral Gables, FL 33134</t>
  </si>
  <si>
    <t xml:space="preserve">(305) 494-2064</t>
  </si>
  <si>
    <t xml:space="preserve">https://nextdoor.com/pages/carolinas-design-alterations-coral-gables-fl/</t>
  </si>
  <si>
    <t xml:space="preserve">P231</t>
  </si>
  <si>
    <t xml:space="preserve">Magic Tailoring</t>
  </si>
  <si>
    <t xml:space="preserve">Sastrería y arreglos de novia y gala</t>
  </si>
  <si>
    <t xml:space="preserve">Familiar; 39 reseñas; solo Facebook y directorios</t>
  </si>
  <si>
    <t xml:space="preserve">https://www.yelp.com/biz/magic-tailoring-coral-gables</t>
  </si>
  <si>
    <t xml:space="preserve">4712 S Le Jeune Rd, Coral Gables, FL 33146</t>
  </si>
  <si>
    <t xml:space="preserve">(305) 663-8319</t>
  </si>
  <si>
    <t xml:space="preserve">https://www.facebook.com/p/Magic-Tailoring-100063447624388/</t>
  </si>
  <si>
    <t xml:space="preserve">https://www.yellowpages.com/coral-gables-fl/mip/magic-tailoring-13414366</t>
  </si>
  <si>
    <t xml:space="preserve">P232</t>
  </si>
  <si>
    <t xml:space="preserve">Sartori Amici / My Grooms Room</t>
  </si>
  <si>
    <t xml:space="preserve">Ropa formal de hombre y trajes a medida</t>
  </si>
  <si>
    <t xml:space="preserve">Familiar, 40 años (desde ~1985); dos marcas, dos dominios y fichas duplicadas</t>
  </si>
  <si>
    <t xml:space="preserve">https://www.yelp.com/biz/sartori-amici-coral-gables-3</t>
  </si>
  <si>
    <t xml:space="preserve">225 Miracle Mile, Coral Gables, FL 33134</t>
  </si>
  <si>
    <t xml:space="preserve">(305) 964-5073</t>
  </si>
  <si>
    <t xml:space="preserve">sartoriamici.com</t>
  </si>
  <si>
    <t xml:space="preserve">https://site.coralgableschamber.org/Retail/Sartori-Amici-My-Grooms-Room-9146</t>
  </si>
  <si>
    <t xml:space="preserve">P233</t>
  </si>
  <si>
    <t xml:space="preserve">Pina Fashions Inc (Pina Boutique)</t>
  </si>
  <si>
    <t xml:space="preserve">Boutique de moda italiana y sastrería</t>
  </si>
  <si>
    <t xml:space="preserve">Desde 1972; web .html estática antigua; otro nombre en Yelp</t>
  </si>
  <si>
    <t xml:space="preserve">https://www.pinaboutique.com/about.html</t>
  </si>
  <si>
    <t xml:space="preserve">1263 E Las Olas Blvd, Fort Lauderdale, FL 33301</t>
  </si>
  <si>
    <t xml:space="preserve">(954) 467-7750</t>
  </si>
  <si>
    <t xml:space="preserve">pinaboutique.com</t>
  </si>
  <si>
    <t xml:space="preserve">https://www.facebook.com/p/Pina-Fashions-100054673860167/</t>
  </si>
  <si>
    <t xml:space="preserve">https://www.yelp.com/biz/pina-tailoring-and-alterations-fort-lauderdale</t>
  </si>
  <si>
    <t xml:space="preserve">https://www.pinaboutique.com/directions.html</t>
  </si>
  <si>
    <t xml:space="preserve">P234</t>
  </si>
  <si>
    <t xml:space="preserve">Deborah James</t>
  </si>
  <si>
    <t xml:space="preserve">Boutique de mujer de gama alta</t>
  </si>
  <si>
    <t xml:space="preserve">Desde 1987; varias tiendas y tienda online</t>
  </si>
  <si>
    <t xml:space="preserve">https://www.yelp.com/biz/deborah-james-fort-lauderdale</t>
  </si>
  <si>
    <t xml:space="preserve">623 E Las Olas Blvd, Fort Lauderdale, FL 33301</t>
  </si>
  <si>
    <t xml:space="preserve">(954) 524-2585</t>
  </si>
  <si>
    <t xml:space="preserve">deborahjames.com</t>
  </si>
  <si>
    <t xml:space="preserve">https://www.facebook.com/DeborahJamesLasOlas/</t>
  </si>
  <si>
    <t xml:space="preserve">https://www.yellowpages.com/fort-lauderdale-fl/mip/deborah-james-6667899</t>
  </si>
  <si>
    <t xml:space="preserve">P235</t>
  </si>
  <si>
    <t xml:space="preserve">Olem Shoe Corp</t>
  </si>
  <si>
    <t xml:space="preserve">Mayorista de calzado y marca blanca</t>
  </si>
  <si>
    <t xml:space="preserve">Fundado en 1964; vende a todo el país</t>
  </si>
  <si>
    <t xml:space="preserve">https://www.yelp.com/biz/olem-shoe-corp-miami-2</t>
  </si>
  <si>
    <t xml:space="preserve">800 NW 21st St, Miami, FL 33127</t>
  </si>
  <si>
    <t xml:space="preserve">(305) 325-9000</t>
  </si>
  <si>
    <t xml:space="preserve">olemshoe.com</t>
  </si>
  <si>
    <t xml:space="preserve">https://www.facebook.com/OlemShoeCorp/</t>
  </si>
  <si>
    <t xml:space="preserve">https://olemshoe.com/about-us/</t>
  </si>
  <si>
    <t xml:space="preserve">P236</t>
  </si>
  <si>
    <t xml:space="preserve">Magnolia Fashion Wholesale</t>
  </si>
  <si>
    <t xml:space="preserve">Mayorista B2B de ropa de mujer</t>
  </si>
  <si>
    <t xml:space="preserve">Varios dominios a la vez (propio, blog wordpress.com, ficha de directorio)</t>
  </si>
  <si>
    <t xml:space="preserve">https://www.yellowpages.com/miami-fl/mip/magnolia-fashion-wholesale-545604198</t>
  </si>
  <si>
    <t xml:space="preserve">2601 NW 5th Ave, Miami, FL 33127</t>
  </si>
  <si>
    <t xml:space="preserve">(786) 558-9213</t>
  </si>
  <si>
    <t xml:space="preserve">magnoliafashionwholesale.com</t>
  </si>
  <si>
    <t xml:space="preserve">https://www.facebook.com/MagnoliaFashionWholesale/</t>
  </si>
  <si>
    <t xml:space="preserve">https://magnolia-fashion-wholesale.miamidirect.us/contact/</t>
  </si>
  <si>
    <t xml:space="preserve">P237</t>
  </si>
  <si>
    <t xml:space="preserve">Gables Bridal at Doral</t>
  </si>
  <si>
    <t xml:space="preserve">Tienda de novias</t>
  </si>
  <si>
    <t xml:space="preserve">Fundada en 1982; se mudó de Coral Gables a Doral en 2023; dos dominios</t>
  </si>
  <si>
    <t xml:space="preserve">https://gablesbridaldoral.com/about</t>
  </si>
  <si>
    <t xml:space="preserve">2470 NW 102nd Pl, Unit 201, Doral, FL</t>
  </si>
  <si>
    <t xml:space="preserve">(305) 445-5896</t>
  </si>
  <si>
    <t xml:space="preserve">gablesbridaldoral.com</t>
  </si>
  <si>
    <t xml:space="preserve">https://www.facebook.com/coralgablesbridals/</t>
  </si>
  <si>
    <t xml:space="preserve">https://www.instagram.com/gablesbridaldoral/</t>
  </si>
  <si>
    <t xml:space="preserve">https://local.yahoo.com/info-237171825-gables-bridal-doral/</t>
  </si>
  <si>
    <t xml:space="preserve">P238</t>
  </si>
  <si>
    <t xml:space="preserve">Professional Tailoring Inc</t>
  </si>
  <si>
    <t xml:space="preserve">Coral Springs</t>
  </si>
  <si>
    <t xml:space="preserve">Sastrería y arreglos</t>
  </si>
  <si>
    <t xml:space="preserve">Fundada en 2000 (Sunbiz P00000055053); sin dominio propio</t>
  </si>
  <si>
    <t xml:space="preserve">https://www.yelp.com/biz/professional-tailoring-coral-springs</t>
  </si>
  <si>
    <t xml:space="preserve">9877 W Sample Rd, Coral Springs, FL 33065</t>
  </si>
  <si>
    <t xml:space="preserve">(954) 757-2829</t>
  </si>
  <si>
    <t xml:space="preserve">https://www.bizprofile.net/fl/coral-springs/professional-tailoring-inc</t>
  </si>
  <si>
    <t xml:space="preserve">P239</t>
  </si>
  <si>
    <t xml:space="preserve">Jeaneration Boutique &amp; Alterations</t>
  </si>
  <si>
    <t xml:space="preserve">Boutique de mujer con arreglos</t>
  </si>
  <si>
    <t xml:space="preserve">Fundada en 1995, familiar</t>
  </si>
  <si>
    <t xml:space="preserve">https://jeanerationboutique.com/</t>
  </si>
  <si>
    <t xml:space="preserve">4671 N University Dr, Coral Springs, FL 33067</t>
  </si>
  <si>
    <t xml:space="preserve">(954) 753-6768</t>
  </si>
  <si>
    <t xml:space="preserve">jeanerationboutique.com</t>
  </si>
  <si>
    <t xml:space="preserve">https://www.facebook.com/jeanerationboutique/</t>
  </si>
  <si>
    <t xml:space="preserve">https://www.yelp.com/biz/jeaneration-coral-springs</t>
  </si>
  <si>
    <t xml:space="preserve">https://www.yellowpages.com/coral-springs-fl/mip/jeaneration-474699781</t>
  </si>
  <si>
    <t xml:space="preserve">P240</t>
  </si>
  <si>
    <t xml:space="preserve">Bikini Brasil</t>
  </si>
  <si>
    <t xml:space="preserve">Trajes de baño brasileños</t>
  </si>
  <si>
    <t xml:space="preserve">Fundada en 2012; solo redes y Yelp</t>
  </si>
  <si>
    <t xml:space="preserve">https://www.yelp.com/biz/bikini-brasil-miami-beach</t>
  </si>
  <si>
    <t xml:space="preserve">1225 Washington Ave, Miami Beach, FL 33139</t>
  </si>
  <si>
    <t xml:space="preserve">(305) 695-7979</t>
  </si>
  <si>
    <t xml:space="preserve">https://www.facebook.com/Bikinibrasil/</t>
  </si>
  <si>
    <t xml:space="preserve">https://www.instagram.com/bikinibrasilboutique/</t>
  </si>
  <si>
    <t xml:space="preserve">P241</t>
  </si>
  <si>
    <t xml:space="preserve">Havana Collection</t>
  </si>
  <si>
    <t xml:space="preserve">Guayaberas y sombreros</t>
  </si>
  <si>
    <t xml:space="preserve">Familiar desde 1972; 3 locales en Calle 8; otro nombre en Yelp; sin dominio</t>
  </si>
  <si>
    <t xml:space="preserve">https://www.lonelyplanet.com/usa/florida/miami/little-havana/shopping/havana-collection/a/poi-sho/1348918/1341620</t>
  </si>
  <si>
    <t xml:space="preserve">1421 SW 8th St, Miami, FL 33135</t>
  </si>
  <si>
    <t xml:space="preserve">(786) 717-7474</t>
  </si>
  <si>
    <t xml:space="preserve">https://www.facebook.com/THEHAVANACOLLECTION/</t>
  </si>
  <si>
    <t xml:space="preserve">https://www.yelp.com/biz/the-havana-shirt-store-miami</t>
  </si>
  <si>
    <t xml:space="preserve">https://calleochonews.com/fidel-asis-opens-another-havana-collection-location-inside-futurama-art-galleries/</t>
  </si>
  <si>
    <t xml:space="preserve">P242</t>
  </si>
  <si>
    <t xml:space="preserve">La Casa de las Guayaberas (Ramón Puig)</t>
  </si>
  <si>
    <t xml:space="preserve">West Miami</t>
  </si>
  <si>
    <t xml:space="preserve">Fabricación y venta de guayaberas</t>
  </si>
  <si>
    <t xml:space="preserve">En Miami desde los años 60 (~1965); equipo de costureras; nombre de tienda distinto al dominio</t>
  </si>
  <si>
    <t xml:space="preserve">https://www.frommers.com/destinations/miami/shopping/la-casa-de-las-guayaberas/</t>
  </si>
  <si>
    <t xml:space="preserve">5840 SW 8th St, West Miami, FL 33144</t>
  </si>
  <si>
    <t xml:space="preserve">(305) 266-9683</t>
  </si>
  <si>
    <t xml:space="preserve">ramonpuig.com</t>
  </si>
  <si>
    <t xml:space="preserve">https://www.facebook.com/ramonpuigguayaberas/</t>
  </si>
  <si>
    <t xml:space="preserve">https://www.yellowpages.com/west-miami-fl/mip/la-casa-de-las-guayaberas-6864106</t>
  </si>
  <si>
    <t xml:space="preserve">P243</t>
  </si>
  <si>
    <t xml:space="preserve">Isabel Boutique</t>
  </si>
  <si>
    <t xml:space="preserve">Weston</t>
  </si>
  <si>
    <t xml:space="preserve">Boutique de ropa y accesorios de mujer</t>
  </si>
  <si>
    <t xml:space="preserve">~18 años en el negocio (desde ~2008); 50+ reseñas; solo directorios</t>
  </si>
  <si>
    <t xml:space="preserve">https://www.superpages.com/bp/weston-fl/isabel-boutique-L2189573306.htm</t>
  </si>
  <si>
    <t xml:space="preserve">4531 Weston Rd, Weston, FL 33331</t>
  </si>
  <si>
    <t xml:space="preserve">(954) 915-3030</t>
  </si>
  <si>
    <t xml:space="preserve">https://www.yelp.com/biz/isabel-boutique-weston</t>
  </si>
  <si>
    <t xml:space="preserve">https://www.yellowpages.com/weston-fl/mip/isabel-boutique-452277547</t>
  </si>
  <si>
    <t xml:space="preserve">P244</t>
  </si>
  <si>
    <t xml:space="preserve">Shoe Gallery Inc</t>
  </si>
  <si>
    <t xml:space="preserve">Little River</t>
  </si>
  <si>
    <t xml:space="preserve">Calzado y sneakers</t>
  </si>
  <si>
    <t xml:space="preserve">Fundada en 1979, familiar</t>
  </si>
  <si>
    <t xml:space="preserve">https://shoegallerymiami.com/pages/store-information</t>
  </si>
  <si>
    <t xml:space="preserve">1060 NE 79th St, Miami, FL 33138</t>
  </si>
  <si>
    <t xml:space="preserve">(305) 371-2063</t>
  </si>
  <si>
    <t xml:space="preserve">shoegallerymiami.com</t>
  </si>
  <si>
    <t xml:space="preserve">https://www.yelp.com/biz/shoe-gallery-miami</t>
  </si>
  <si>
    <t xml:space="preserve">P245</t>
  </si>
  <si>
    <t xml:space="preserve">Pines Alteration</t>
  </si>
  <si>
    <t xml:space="preserve">Arreglos y sastrería</t>
  </si>
  <si>
    <t xml:space="preserve">Desde 1997 (D&amp;B); sin dominio propio</t>
  </si>
  <si>
    <t xml:space="preserve">https://www.dandb.com/businessdirectory/pinesalterations-pembrokepines-fl-28488386.html</t>
  </si>
  <si>
    <t xml:space="preserve">7637 Pines Blvd, Pembroke Pines, FL 33024</t>
  </si>
  <si>
    <t xml:space="preserve">(954) 964-3844</t>
  </si>
  <si>
    <t xml:space="preserve">https://www.yelp.com/biz/pines-alteration-pembroke-pines</t>
  </si>
  <si>
    <t xml:space="preserve">https://www.bbb.org/us/fl/pembroke-pines/profile/clothing-alterations/pines-alterations-and-tailoring-0633-90081510</t>
  </si>
  <si>
    <t xml:space="preserve">P246</t>
  </si>
  <si>
    <t xml:space="preserve">Warehouse Uniform &amp; Embroidery Inc</t>
  </si>
  <si>
    <t xml:space="preserve">Uniformes, bordado y serigrafía</t>
  </si>
  <si>
    <t xml:space="preserve">Tres dominios; línea propia de uniformes de chef</t>
  </si>
  <si>
    <t xml:space="preserve">https://www.yelp.com/biz/warehouse-uniform-and-embroidery-doral</t>
  </si>
  <si>
    <t xml:space="preserve">10171 NW 58th St, Unit 12, Doral, FL 33178</t>
  </si>
  <si>
    <t xml:space="preserve">(305) 599-8412</t>
  </si>
  <si>
    <t xml:space="preserve">wueinc.com</t>
  </si>
  <si>
    <t xml:space="preserve">https://www.yellowpages.com/doral-fl/mip/warehouse-uniform-embroidery-23004351</t>
  </si>
  <si>
    <t xml:space="preserve">P247</t>
  </si>
  <si>
    <t xml:space="preserve">The Perfect Fit Custom Tailoring</t>
  </si>
  <si>
    <t xml:space="preserve">Sastrería para clientes retail de marca</t>
  </si>
  <si>
    <t xml:space="preserve">Fundada en 2007; 74 reseñas; clientes B2B (True Religion, John Varvatos)</t>
  </si>
  <si>
    <t xml:space="preserve">https://www.yelp.com/biz/the-perfect-fit-miami-beach-2</t>
  </si>
  <si>
    <t xml:space="preserve">406 14th St, Miami Beach, FL 33139</t>
  </si>
  <si>
    <t xml:space="preserve">(305) 538-9191</t>
  </si>
  <si>
    <t xml:space="preserve">https://www.facebook.com/161632290522132/</t>
  </si>
  <si>
    <t xml:space="preserve">https://www.yellowpages.com/miami-beach-fl/mip/the-perfect-fit-tailoring-530984508</t>
  </si>
  <si>
    <t xml:space="preserve">P248</t>
  </si>
  <si>
    <t xml:space="preserve">Tailor Republic</t>
  </si>
  <si>
    <t xml:space="preserve">Arreglos, sastrería y bordado</t>
  </si>
  <si>
    <t xml:space="preserve">Dos cuentas de Instagram y dos direcciones distintas</t>
  </si>
  <si>
    <t xml:space="preserve">https://www.yelp.com/biz/tailor-republic-miami-beach-2</t>
  </si>
  <si>
    <t xml:space="preserve">940 Lincoln Rd #208, Miami Beach, FL 33139</t>
  </si>
  <si>
    <t xml:space="preserve">(305) 600-8298</t>
  </si>
  <si>
    <t xml:space="preserve">https://www.instagram.com/tailor_republic/</t>
  </si>
  <si>
    <t xml:space="preserve">https://www.chamberofcommerce.com/united-states/florida/miami-beach/tailor/2013081832-tailor-republic</t>
  </si>
  <si>
    <t xml:space="preserve">P249</t>
  </si>
  <si>
    <t xml:space="preserve">Lois Alteration Shop</t>
  </si>
  <si>
    <t xml:space="preserve">Arreglos de ropa</t>
  </si>
  <si>
    <t xml:space="preserve">Años en el mismo lugar; solo directorios</t>
  </si>
  <si>
    <t xml:space="preserve">https://www.bbb.org/us/fl/hollywood/profile/clothing-alterations/lois-alteration-shop-0633-90072554</t>
  </si>
  <si>
    <t xml:space="preserve">(954) 961-6794</t>
  </si>
  <si>
    <t xml:space="preserve">https://www.yelp.com/biz/lois-alteration-shop-hollywood</t>
  </si>
  <si>
    <t xml:space="preserve">https://www.yellowpages.com/hollywood-fl/mip/lois-alteration-shop-15593165</t>
  </si>
  <si>
    <t xml:space="preserve">P250</t>
  </si>
  <si>
    <t xml:space="preserve">Marcella's Fashion Boutique</t>
  </si>
  <si>
    <t xml:space="preserve">Boutique de moda italiana</t>
  </si>
  <si>
    <t xml:space="preserve">51 reseñas; usa dos nombres</t>
  </si>
  <si>
    <t xml:space="preserve">https://www.yelp.com/biz/marcellas-fashion-weston</t>
  </si>
  <si>
    <t xml:space="preserve">1729 Main St, Weston, FL 33326</t>
  </si>
  <si>
    <t xml:space="preserve">(954) 217-7272</t>
  </si>
  <si>
    <t xml:space="preserve">marcellasfashionboutique.com</t>
  </si>
  <si>
    <t xml:space="preserve">https://www.facebook.com/Marcellasfashion/</t>
  </si>
  <si>
    <t xml:space="preserve">https://www.yellowpages.com/weston-fl/mip/marcellas-fashion-460620173</t>
  </si>
  <si>
    <t xml:space="preserve">P251</t>
  </si>
  <si>
    <t xml:space="preserve">Humberto's Shoe, Luggage Repair &amp; Tailor</t>
  </si>
  <si>
    <t xml:space="preserve">Reparación de calzado y sastrería</t>
  </si>
  <si>
    <t xml:space="preserve">Más de 25 años en Pembroke Pines (desde ~2000); 66 reseñas</t>
  </si>
  <si>
    <t xml:space="preserve">https://humbertosshoerepair.com/</t>
  </si>
  <si>
    <t xml:space="preserve">15963 Pines Blvd, Pembroke Pines, FL 33027</t>
  </si>
  <si>
    <t xml:space="preserve">(954) 430-2253</t>
  </si>
  <si>
    <t xml:space="preserve">humbertosshoerepair.com</t>
  </si>
  <si>
    <t xml:space="preserve">https://www.yelp.com/biz/humbertos-shoe-luggage-repair-and-tailor-pembroke-pines</t>
  </si>
  <si>
    <t xml:space="preserve">P252</t>
  </si>
  <si>
    <t xml:space="preserve">IDolls Boutique</t>
  </si>
  <si>
    <t xml:space="preserve">Boutique de ropa de mujer</t>
  </si>
  <si>
    <t xml:space="preserve">Ficha de Yelp con 52 fotos</t>
  </si>
  <si>
    <t xml:space="preserve">https://www.yelp.com/biz/idolls-boutique-miami-gardens</t>
  </si>
  <si>
    <t xml:space="preserve">17845 NW 27th Ave, Suite E, Miami Gardens, FL 33056</t>
  </si>
  <si>
    <t xml:space="preserve">teléfono omitido (posible celular)</t>
  </si>
  <si>
    <t xml:space="preserve">P253</t>
  </si>
  <si>
    <t xml:space="preserve">All Uniform Wear</t>
  </si>
  <si>
    <t xml:space="preserve">Uniformes médicos, escolares y de trabajo</t>
  </si>
  <si>
    <t xml:space="preserve">Familiar desde 1983; varias tiendas; dos fichas en Yelp</t>
  </si>
  <si>
    <t xml:space="preserve">https://www.alluniformwear.com/doral</t>
  </si>
  <si>
    <t xml:space="preserve">10670 NW 19th St, Doral, FL 33172</t>
  </si>
  <si>
    <t xml:space="preserve">alluniformwear.com</t>
  </si>
  <si>
    <t xml:space="preserve">https://www.yelp.com/biz/all-uniform-wear-doral-2</t>
  </si>
  <si>
    <t xml:space="preserve">P254</t>
  </si>
  <si>
    <t xml:space="preserve">Khai Le's Alterations &amp; Dry Cleaning</t>
  </si>
  <si>
    <t xml:space="preserve">Arreglos y tintorería</t>
  </si>
  <si>
    <t xml:space="preserve">~17 años (desde ~2008)</t>
  </si>
  <si>
    <t xml:space="preserve">https://www.yelp.com/biz/khai-les-alterations-miami-beach</t>
  </si>
  <si>
    <t xml:space="preserve">927 Lincoln Rd, Miami Beach, FL</t>
  </si>
  <si>
    <t xml:space="preserve">P255</t>
  </si>
  <si>
    <t xml:space="preserve">Shirts R Us of Hollywood Inc</t>
  </si>
  <si>
    <t xml:space="preserve">Bordado y serigrafía</t>
  </si>
  <si>
    <t xml:space="preserve">Familiar, más de 25 años (desde ~2000); showroom con 300+ prendas</t>
  </si>
  <si>
    <t xml:space="preserve">https://boatplanet.com/pro/shirts-r-us-of-hollywood-inc</t>
  </si>
  <si>
    <t xml:space="preserve">https://www.yellowpages.com/davie-fl/mip/shirts-r-us-452238217</t>
  </si>
  <si>
    <t xml:space="preserve">faltan dirección exacta y teléfono</t>
  </si>
  <si>
    <t xml:space="preserve">P256</t>
  </si>
  <si>
    <t xml:space="preserve">Music Arts Enterprises (MAE)</t>
  </si>
  <si>
    <t xml:space="preserve">Tienda y reparación de instrumentos, sonido e iluminación</t>
  </si>
  <si>
    <t xml:space="preserve">Fundada en 1963</t>
  </si>
  <si>
    <t xml:space="preserve">https://www.yelp.com/biz/music-arts-enterprises-fort-lauderdale-3</t>
  </si>
  <si>
    <t xml:space="preserve">3301 Davie Blvd, Fort Lauderdale, FL 33312</t>
  </si>
  <si>
    <t xml:space="preserve">(954) 581-2203</t>
  </si>
  <si>
    <t xml:space="preserve">maemusic.com</t>
  </si>
  <si>
    <t xml:space="preserve">https://www.facebook.com/MusicArtsEnterprises/</t>
  </si>
  <si>
    <t xml:space="preserve">https://www.maemusic.com/</t>
  </si>
  <si>
    <t xml:space="preserve">posible segundo dominio</t>
  </si>
  <si>
    <t xml:space="preserve">P257</t>
  </si>
  <si>
    <t xml:space="preserve">Criteria Recording Studios</t>
  </si>
  <si>
    <t xml:space="preserve">Estudio de grabación profesional (7 estudios)</t>
  </si>
  <si>
    <t xml:space="preserve">51</t>
  </si>
  <si>
    <t xml:space="preserve">51 Información y medios (grabación)</t>
  </si>
  <si>
    <t xml:space="preserve">Fundado en 1958; 7 estudios 24 h</t>
  </si>
  <si>
    <t xml:space="preserve">https://en.wikipedia.org/wiki/Criteria_Studios</t>
  </si>
  <si>
    <t xml:space="preserve">1755 NE 149th St, Miami, FL 33181</t>
  </si>
  <si>
    <t xml:space="preserve">(305) 947-5611</t>
  </si>
  <si>
    <t xml:space="preserve">criteriastudios.com</t>
  </si>
  <si>
    <t xml:space="preserve">https://www.facebook.com/142433409128998/</t>
  </si>
  <si>
    <t xml:space="preserve">https://www.linkedin.com/company/criteria-recording-studios</t>
  </si>
  <si>
    <t xml:space="preserve">https://www.yelp.com/biz/criteria-recording-studios-miami-3</t>
  </si>
  <si>
    <t xml:space="preserve">https://www.criteriastudios.com/contact</t>
  </si>
  <si>
    <t xml:space="preserve">P258</t>
  </si>
  <si>
    <t xml:space="preserve">42nd Street Recording Studios</t>
  </si>
  <si>
    <t xml:space="preserve">Estudio de grabación y producción</t>
  </si>
  <si>
    <t xml:space="preserve">Fundado en 1993; segunda marca en la misma dirección</t>
  </si>
  <si>
    <t xml:space="preserve">https://www.42ndstreetstudios.com/</t>
  </si>
  <si>
    <t xml:space="preserve">548 NE 42nd St, Fort Lauderdale, FL 33334</t>
  </si>
  <si>
    <t xml:space="preserve">(954) 830-1608</t>
  </si>
  <si>
    <t xml:space="preserve">42ndstreetstudios.com</t>
  </si>
  <si>
    <t xml:space="preserve">https://www.facebook.com/42ndststudios/</t>
  </si>
  <si>
    <t xml:space="preserve">https://www.yelp.com/biz/42nd-street-recording-studios-fort-lauderdale-2</t>
  </si>
  <si>
    <t xml:space="preserve">dos marcas</t>
  </si>
  <si>
    <t xml:space="preserve">P259</t>
  </si>
  <si>
    <t xml:space="preserve">Wynwood Studio</t>
  </si>
  <si>
    <t xml:space="preserve">Espacio de producción y eventos con estudio</t>
  </si>
  <si>
    <t xml:space="preserve">Dominio propio pero 4 teléfonos distintos en directorios</t>
  </si>
  <si>
    <t xml:space="preserve">https://www.yelp.com/biz/wynwood-studio-miami</t>
  </si>
  <si>
    <t xml:space="preserve">567 NW 27th St, Miami, FL 33127</t>
  </si>
  <si>
    <t xml:space="preserve">wynwood.studio</t>
  </si>
  <si>
    <t xml:space="preserve">https://www.facebook.com/wyn.studios/</t>
  </si>
  <si>
    <t xml:space="preserve">https://www.linkedin.com/company/wynwood-studio</t>
  </si>
  <si>
    <t xml:space="preserve">https://www.wynwood.studio/</t>
  </si>
  <si>
    <t xml:space="preserve">teléfono inconsistente</t>
  </si>
  <si>
    <t xml:space="preserve">Eventos y bodas</t>
  </si>
  <si>
    <t xml:space="preserve">P260</t>
  </si>
  <si>
    <t xml:space="preserve">The Guitar Nook Inc</t>
  </si>
  <si>
    <t xml:space="preserve">Tienda de guitarras con clases y reparación</t>
  </si>
  <si>
    <t xml:space="preserve">Fundada en 2012; dominio + sitio paralelo</t>
  </si>
  <si>
    <t xml:space="preserve">https://caplinnews.fiu.edu/guitar-shops-the-guitar-nook-waynes-guitar-world-kendall-conservatory-of-music/</t>
  </si>
  <si>
    <t xml:space="preserve">13744 Biscayne Blvd, North Miami Beach, FL 33181</t>
  </si>
  <si>
    <t xml:space="preserve">(305) 947-1211</t>
  </si>
  <si>
    <t xml:space="preserve">theguitarnook.com</t>
  </si>
  <si>
    <t xml:space="preserve">https://www.facebook.com/TheGuitarNook/</t>
  </si>
  <si>
    <t xml:space="preserve">https://www.linkedin.com/company/the-guitar-nook-inc.</t>
  </si>
  <si>
    <t xml:space="preserve">https://www.yelp.com/biz/the-guitar-nook-north-miami-beach</t>
  </si>
  <si>
    <t xml:space="preserve">P261</t>
  </si>
  <si>
    <t xml:space="preserve">Kendall Conservatory of Music Inc</t>
  </si>
  <si>
    <t xml:space="preserve">Escuela y tienda de música</t>
  </si>
  <si>
    <t xml:space="preserve">Desde 1972</t>
  </si>
  <si>
    <t xml:space="preserve">7153 SW 117th Ave, Miami, FL 33183</t>
  </si>
  <si>
    <t xml:space="preserve">(305) 274-9207</t>
  </si>
  <si>
    <t xml:space="preserve">kendallconservatory.com</t>
  </si>
  <si>
    <t xml:space="preserve">https://www.facebook.com/KendallConservatoryofMusic/</t>
  </si>
  <si>
    <t xml:space="preserve">https://www.yelp.com/biz/kendall-conservatory-of-music-inc-miami</t>
  </si>
  <si>
    <t xml:space="preserve">P262</t>
  </si>
  <si>
    <t xml:space="preserve">Big Beat Productions Inc</t>
  </si>
  <si>
    <t xml:space="preserve">DJs, bandas y producción de eventos</t>
  </si>
  <si>
    <t xml:space="preserve">En Coral Springs desde 1986</t>
  </si>
  <si>
    <t xml:space="preserve">https://www.weddingwire.com/biz/big-beat-productions-coral-springs/c9f1ea40b232cad6.html</t>
  </si>
  <si>
    <t xml:space="preserve">1515 N University Dr, Suite 106, Coral Springs, FL 33071</t>
  </si>
  <si>
    <t xml:space="preserve">(954) 755-7759</t>
  </si>
  <si>
    <t xml:space="preserve">bigbeatproductions.com</t>
  </si>
  <si>
    <t xml:space="preserve">https://www.facebook.com/bigbeatproductions/</t>
  </si>
  <si>
    <t xml:space="preserve">https://www.linkedin.com/company/big-beat-productions-inc</t>
  </si>
  <si>
    <t xml:space="preserve">https://www.yelp.com/biz/big-beat-productions-coral-springs</t>
  </si>
  <si>
    <t xml:space="preserve">P263</t>
  </si>
  <si>
    <t xml:space="preserve">Diamond Venue Doral</t>
  </si>
  <si>
    <t xml:space="preserve">Salón de banquetes para quinces y bodas</t>
  </si>
  <si>
    <t xml:space="preserve">80-200 invitados; en descuentos de la Ciudad de Doral</t>
  </si>
  <si>
    <t xml:space="preserve">https://www.cityofdoral.com/Businesses/Local-Discounts/Diamond-Venue-at-Doral</t>
  </si>
  <si>
    <t xml:space="preserve">4747 NW 79th Ave, Fl 2, Doral, FL 33166</t>
  </si>
  <si>
    <t xml:space="preserve">(786) 332-7065</t>
  </si>
  <si>
    <t xml:space="preserve">diamondvenuedoral.com</t>
  </si>
  <si>
    <t xml:space="preserve">https://www.facebook.com/diamondvenueatdoral/</t>
  </si>
  <si>
    <t xml:space="preserve">https://www.yelp.com/biz/diamond-venue-doral</t>
  </si>
  <si>
    <t xml:space="preserve">P264</t>
  </si>
  <si>
    <t xml:space="preserve">The Temple House</t>
  </si>
  <si>
    <t xml:space="preserve">Local de eventos y bodas (hasta 450)</t>
  </si>
  <si>
    <t xml:space="preserve">Local independiente con premios internacionales</t>
  </si>
  <si>
    <t xml:space="preserve">https://www.yelp.com/biz/the-temple-house-miami-beach</t>
  </si>
  <si>
    <t xml:space="preserve">1415 Euclid Ave, Miami Beach, FL 33139</t>
  </si>
  <si>
    <t xml:space="preserve">(305) 673-2526</t>
  </si>
  <si>
    <t xml:space="preserve">thetemplehouse.com</t>
  </si>
  <si>
    <t xml:space="preserve">https://www.facebook.com/TheTempleHouse/</t>
  </si>
  <si>
    <t xml:space="preserve">https://www.wedding-spot.com/venue/3621/the-temple-house/</t>
  </si>
  <si>
    <t xml:space="preserve">P265</t>
  </si>
  <si>
    <t xml:space="preserve">Ballroom Events Banquet Hall</t>
  </si>
  <si>
    <t xml:space="preserve">Salón de banquetes</t>
  </si>
  <si>
    <t xml:space="preserve">Desde 2011; dos páginas de Facebook</t>
  </si>
  <si>
    <t xml:space="preserve">https://www.yelp.com/biz/ballroom-events-banquet-hall-miami-gardens</t>
  </si>
  <si>
    <t xml:space="preserve">4858 NW 167th St, Miami Gardens, FL 33014</t>
  </si>
  <si>
    <t xml:space="preserve">(954) 624-5626</t>
  </si>
  <si>
    <t xml:space="preserve">ballroomeventsbanquethall.com</t>
  </si>
  <si>
    <t xml:space="preserve">https://www.facebook.com/ballroomeventsbanquethall/</t>
  </si>
  <si>
    <t xml:space="preserve">https://ballroomeventsbanquethall.com/</t>
  </si>
  <si>
    <t xml:space="preserve">P266</t>
  </si>
  <si>
    <t xml:space="preserve">The Endowment Banquet Hall</t>
  </si>
  <si>
    <t xml:space="preserve">Solo Yelp y Nextdoor</t>
  </si>
  <si>
    <t xml:space="preserve">https://www.yelp.com/biz/the-endowment-banquet-hall-miami-gardens</t>
  </si>
  <si>
    <t xml:space="preserve">4888 NW 183rd St, Suite 215, Miami Gardens, FL 33055</t>
  </si>
  <si>
    <t xml:space="preserve">(305) 628-7643</t>
  </si>
  <si>
    <t xml:space="preserve">P267</t>
  </si>
  <si>
    <t xml:space="preserve">Fiesta Party Rentals LLC</t>
  </si>
  <si>
    <t xml:space="preserve">Alquiler para fiestas</t>
  </si>
  <si>
    <t xml:space="preserve">Familiar desde 2000; teléfonos distintos entre web y directorios</t>
  </si>
  <si>
    <t xml:space="preserve">https://www.fiestapartyrentalmiami.com/</t>
  </si>
  <si>
    <t xml:space="preserve">17681 NW 54th Ave, Miami Gardens, FL 33055</t>
  </si>
  <si>
    <t xml:space="preserve">(305) 627-9297</t>
  </si>
  <si>
    <t xml:space="preserve">fiestapartyrentalmiami.com</t>
  </si>
  <si>
    <t xml:space="preserve">https://www.yelp.com/biz/fiesta-party-rentals-miami-gardens</t>
  </si>
  <si>
    <t xml:space="preserve">https://www.yellowpages.com/miami-gardens-fl/mip/fiesta-party-rentals-190357</t>
  </si>
  <si>
    <t xml:space="preserve">NAP inconsistente</t>
  </si>
  <si>
    <t xml:space="preserve">P268</t>
  </si>
  <si>
    <t xml:space="preserve">Elegant Parties</t>
  </si>
  <si>
    <t xml:space="preserve">Alquiler de equipo para eventos</t>
  </si>
  <si>
    <t xml:space="preserve">Desde 1987; almacén de 22,000 ft²; páginas 'copy-of' sin editar</t>
  </si>
  <si>
    <t xml:space="preserve">https://www.elegantparties.com/copy-of-about</t>
  </si>
  <si>
    <t xml:space="preserve">1780 NW 15th Ave, Suite 435, Pompano Beach, FL 33069</t>
  </si>
  <si>
    <t xml:space="preserve">(954) 956-8227</t>
  </si>
  <si>
    <t xml:space="preserve">elegantparties.com</t>
  </si>
  <si>
    <t xml:space="preserve">https://www.instagram.com/elegant_parties/</t>
  </si>
  <si>
    <t xml:space="preserve">https://www.yelp.com/biz/elegant-parties-pompano-beach-2</t>
  </si>
  <si>
    <t xml:space="preserve">P269</t>
  </si>
  <si>
    <t xml:space="preserve">Murnor Studio</t>
  </si>
  <si>
    <t xml:space="preserve">Estudio fotográfico</t>
  </si>
  <si>
    <t xml:space="preserve">Fundado en 1925; en Coral Gables desde 1953</t>
  </si>
  <si>
    <t xml:space="preserve">https://murnorstudio.com/about-us/</t>
  </si>
  <si>
    <t xml:space="preserve">264 Andalusia Ave, Coral Gables, FL 33134</t>
  </si>
  <si>
    <t xml:space="preserve">(305) 444-3143</t>
  </si>
  <si>
    <t xml:space="preserve">murnorstudio.com</t>
  </si>
  <si>
    <t xml:space="preserve">https://www.facebook.com/murnorstudio/</t>
  </si>
  <si>
    <t xml:space="preserve">https://www.yelp.com/biz/murnor-studio-coral-gables</t>
  </si>
  <si>
    <t xml:space="preserve">https://www.superpages.com/coral-gables-fl/bpp/murnor-studio-467203784</t>
  </si>
  <si>
    <t xml:space="preserve">Arte, fotografía y diseño</t>
  </si>
  <si>
    <t xml:space="preserve">P270</t>
  </si>
  <si>
    <t xml:space="preserve">Delio Photo Studio</t>
  </si>
  <si>
    <t xml:space="preserve">Coral Way</t>
  </si>
  <si>
    <t xml:space="preserve">Estudio fotográfico, enmarcado y restauración</t>
  </si>
  <si>
    <t xml:space="preserve">Fundado en 2002; dominio citado sin confirmar</t>
  </si>
  <si>
    <t xml:space="preserve">https://www.yelp.com/biz/delio-photo-studio-miami-2</t>
  </si>
  <si>
    <t xml:space="preserve">2399 Coral Way, Miami, FL 33145</t>
  </si>
  <si>
    <t xml:space="preserve">(305) 856-5632</t>
  </si>
  <si>
    <t xml:space="preserve">https://www.facebook.com/deliophotostudio/</t>
  </si>
  <si>
    <t xml:space="preserve">https://www.linkedin.com/company/delio-photo-studio</t>
  </si>
  <si>
    <t xml:space="preserve">P271</t>
  </si>
  <si>
    <t xml:space="preserve">I've Been Framed</t>
  </si>
  <si>
    <t xml:space="preserve">SW 8th St</t>
  </si>
  <si>
    <t xml:space="preserve">Enmarcado a medida y galería</t>
  </si>
  <si>
    <t xml:space="preserve">Fundado en 1996</t>
  </si>
  <si>
    <t xml:space="preserve">https://www.yelp.com/biz/ive-been-framed-miami-4</t>
  </si>
  <si>
    <t xml:space="preserve">733 SW 8th St, Miami, FL 33130</t>
  </si>
  <si>
    <t xml:space="preserve">(305) 373-5767</t>
  </si>
  <si>
    <t xml:space="preserve">ivebeenframedmiami.com</t>
  </si>
  <si>
    <t xml:space="preserve">https://www.superpages.com/miami-fl/bpp/ive-been-framed-5292799</t>
  </si>
  <si>
    <t xml:space="preserve">P272</t>
  </si>
  <si>
    <t xml:space="preserve">Frame Art</t>
  </si>
  <si>
    <t xml:space="preserve">Enmarcado a medida</t>
  </si>
  <si>
    <t xml:space="preserve">Desde 1983; varios nombres de marca</t>
  </si>
  <si>
    <t xml:space="preserve">https://www.frameartofmiami.com/</t>
  </si>
  <si>
    <t xml:space="preserve">11758 SW 88th St, Miami, FL 33186</t>
  </si>
  <si>
    <t xml:space="preserve">(305) 596-1978</t>
  </si>
  <si>
    <t xml:space="preserve">frameartofmiami.com</t>
  </si>
  <si>
    <t xml:space="preserve">https://www.facebook.com/frameartofkendall/</t>
  </si>
  <si>
    <t xml:space="preserve">https://www.yelp.com/biz/frame-art-miami-4</t>
  </si>
  <si>
    <t xml:space="preserve">marca inconsistente</t>
  </si>
  <si>
    <t xml:space="preserve">P273</t>
  </si>
  <si>
    <t xml:space="preserve">E&amp;P Printing Corp</t>
  </si>
  <si>
    <t xml:space="preserve">Imprenta comercial y gran formato</t>
  </si>
  <si>
    <t xml:space="preserve">Fundada en 1977; web bajo otra marca y otra empresa en la misma dirección</t>
  </si>
  <si>
    <t xml:space="preserve">https://www.yelp.com/biz/e-and-p-printing-miami</t>
  </si>
  <si>
    <t xml:space="preserve">7884 NW 64th St, Miami, FL 33166</t>
  </si>
  <si>
    <t xml:space="preserve">(305) 715-9545</t>
  </si>
  <si>
    <t xml:space="preserve">eandpgroup.com</t>
  </si>
  <si>
    <t xml:space="preserve">cambio de marca</t>
  </si>
  <si>
    <t xml:space="preserve">Imprenta y rótulos</t>
  </si>
  <si>
    <t xml:space="preserve">P274</t>
  </si>
  <si>
    <t xml:space="preserve">Solo Printing LLC</t>
  </si>
  <si>
    <t xml:space="preserve">Imprenta litográfica (planta de 180,000 ft²)</t>
  </si>
  <si>
    <t xml:space="preserve">Fundada en 1985; dos dominios</t>
  </si>
  <si>
    <t xml:space="preserve">https://soloprinting.com/who-are-we/</t>
  </si>
  <si>
    <t xml:space="preserve">7860 NW 66th St, Miami, FL 33166</t>
  </si>
  <si>
    <t xml:space="preserve">soloprinting.com</t>
  </si>
  <si>
    <t xml:space="preserve">https://www.linkedin.com/company/solo-printing-company</t>
  </si>
  <si>
    <t xml:space="preserve">https://www.yelp.com/biz/solo-printing-miami</t>
  </si>
  <si>
    <t xml:space="preserve">https://soloprinting.com/contact-soloprinting/</t>
  </si>
  <si>
    <t xml:space="preserve">P275</t>
  </si>
  <si>
    <t xml:space="preserve">First Sign Corp</t>
  </si>
  <si>
    <t xml:space="preserve">Rótulos, gráficos e impresión</t>
  </si>
  <si>
    <t xml:space="preserve">Desde 1983; CMS antiguo (.aspx)</t>
  </si>
  <si>
    <t xml:space="preserve">https://www.firstsign.com/pg/7-About-Us.aspx</t>
  </si>
  <si>
    <t xml:space="preserve">2085 N Powerline Rd, Suite 1, Pompano Beach, FL 33069</t>
  </si>
  <si>
    <t xml:space="preserve">firstsign.com</t>
  </si>
  <si>
    <t xml:space="preserve">https://www.facebook.com/FirstSignCorp/</t>
  </si>
  <si>
    <t xml:space="preserve">https://www.linkedin.com/company/first-sign-corp</t>
  </si>
  <si>
    <t xml:space="preserve">https://www.yelp.com/biz/first-sign-pompano-beach</t>
  </si>
  <si>
    <t xml:space="preserve">P276</t>
  </si>
  <si>
    <t xml:space="preserve">South Florida Sign Company</t>
  </si>
  <si>
    <t xml:space="preserve">Rótulos, impresión y diseño</t>
  </si>
  <si>
    <t xml:space="preserve">Desde 1976</t>
  </si>
  <si>
    <t xml:space="preserve">https://www.southfloridasigncompany.com/about/</t>
  </si>
  <si>
    <t xml:space="preserve">2133 NW 22nd St, Pompano Beach, FL 33069</t>
  </si>
  <si>
    <t xml:space="preserve">(754) 329-0902</t>
  </si>
  <si>
    <t xml:space="preserve">southfloridasigncompany.com</t>
  </si>
  <si>
    <t xml:space="preserve">https://www.facebook.com/southfloridasigncompany/</t>
  </si>
  <si>
    <t xml:space="preserve">https://www.yelp.com/biz/south-florida-sign-pompano-beach</t>
  </si>
  <si>
    <t xml:space="preserve">https://www.southfloridasigncompany.com/contact</t>
  </si>
  <si>
    <t xml:space="preserve">P277</t>
  </si>
  <si>
    <t xml:space="preserve">Coral Gables Florist</t>
  </si>
  <si>
    <t xml:space="preserve">Floristería con entrega diaria</t>
  </si>
  <si>
    <t xml:space="preserve">Familiar desde 1992</t>
  </si>
  <si>
    <t xml:space="preserve">https://www.coralgablesflorist.com/contact-us/</t>
  </si>
  <si>
    <t xml:space="preserve">1825 Ponce de Leon Blvd, Coral Gables, FL 33134</t>
  </si>
  <si>
    <t xml:space="preserve">(305) 663-0272</t>
  </si>
  <si>
    <t xml:space="preserve">coralgablesflorist.com</t>
  </si>
  <si>
    <t xml:space="preserve">https://www.facebook.com/p/Coral-Gables-Florist-100067677827539/</t>
  </si>
  <si>
    <t xml:space="preserve">https://www.yelp.com/biz/coral-gables-florist-coral-gables</t>
  </si>
  <si>
    <t xml:space="preserve">Floristería</t>
  </si>
  <si>
    <t xml:space="preserve">P278</t>
  </si>
  <si>
    <t xml:space="preserve">Darby's Florist Shop Inc</t>
  </si>
  <si>
    <t xml:space="preserve">Establecida en 1975; plantilla .php de red florista</t>
  </si>
  <si>
    <t xml:space="preserve">https://www.darbysflorist.com/about_us.php</t>
  </si>
  <si>
    <t xml:space="preserve">9615 W Sample Rd, Coral Springs, FL 33065</t>
  </si>
  <si>
    <t xml:space="preserve">(954) 227-2800</t>
  </si>
  <si>
    <t xml:space="preserve">darbysflorist.com</t>
  </si>
  <si>
    <t xml:space="preserve">https://www.facebook.com/DarbysFlorist/</t>
  </si>
  <si>
    <t xml:space="preserve">https://www.yelp.com/biz/darbys-florist-coral-springs</t>
  </si>
  <si>
    <t xml:space="preserve">https://www.flowershopnetwork.com/floristProfile/158764</t>
  </si>
  <si>
    <t xml:space="preserve">P279</t>
  </si>
  <si>
    <t xml:space="preserve">Hooray's From Hollywood Inc</t>
  </si>
  <si>
    <t xml:space="preserve">Floristería con entrega el mismo día</t>
  </si>
  <si>
    <t xml:space="preserve">Desde 1993; dos dominios activos</t>
  </si>
  <si>
    <t xml:space="preserve">https://hooraysfromhollywood.com/pages/about-us</t>
  </si>
  <si>
    <t xml:space="preserve">609 N 21st Ave, Hollywood, FL 33020</t>
  </si>
  <si>
    <t xml:space="preserve">(954) 921-6200</t>
  </si>
  <si>
    <t xml:space="preserve">hooraysfromhollywood.com</t>
  </si>
  <si>
    <t xml:space="preserve">https://www.yelp.com/biz/hoorays-from-hollywood-hollywood</t>
  </si>
  <si>
    <t xml:space="preserve">https://www.flowershopnetwork.com/floristProfile/282071</t>
  </si>
  <si>
    <t xml:space="preserve">P280</t>
  </si>
  <si>
    <t xml:space="preserve">Joan's Florist</t>
  </si>
  <si>
    <t xml:space="preserve">Familiar desde 1981</t>
  </si>
  <si>
    <t xml:space="preserve">https://www.joansflorist.net/about-us</t>
  </si>
  <si>
    <t xml:space="preserve">5920 Johnson St, Suite 107, Hollywood, FL 33021</t>
  </si>
  <si>
    <t xml:space="preserve">(954) 983-4367</t>
  </si>
  <si>
    <t xml:space="preserve">joansflorist.net</t>
  </si>
  <si>
    <t xml:space="preserve">https://www.facebook.com/JoansFloristHollywood/</t>
  </si>
  <si>
    <t xml:space="preserve">https://www.yelp.com/biz/joans-florist-hollywood</t>
  </si>
  <si>
    <t xml:space="preserve">https://www.superpages.com/hollywood-fl/bpp/joans-florist-18524615</t>
  </si>
  <si>
    <t xml:space="preserve">P281</t>
  </si>
  <si>
    <t xml:space="preserve">Tattoos by Lou – North Miami</t>
  </si>
  <si>
    <t xml:space="preserve">Tatuajes y piercing (3 sedes)</t>
  </si>
  <si>
    <t xml:space="preserve">Fundado en 1986; dos dominios</t>
  </si>
  <si>
    <t xml:space="preserve">https://www.tattoosbylou.com/post/2015/05/01/shop-history-tattoos-by-lou-south-beach</t>
  </si>
  <si>
    <t xml:space="preserve">456 NE 167th St, Miami, FL 33162</t>
  </si>
  <si>
    <t xml:space="preserve">(305) 944-0888</t>
  </si>
  <si>
    <t xml:space="preserve">tattoosbylou.com</t>
  </si>
  <si>
    <t xml:space="preserve">https://www.instagram.com/tattoosbyloumiami/</t>
  </si>
  <si>
    <t xml:space="preserve">https://www.yelp.com/biz/tattoos-by-lou-north-miami-miami-2</t>
  </si>
  <si>
    <t xml:space="preserve">Tatuajes</t>
  </si>
  <si>
    <t xml:space="preserve">P282</t>
  </si>
  <si>
    <t xml:space="preserve">Ocho Placas Tattoo Company</t>
  </si>
  <si>
    <t xml:space="preserve">Tatuajes a medida</t>
  </si>
  <si>
    <t xml:space="preserve">Desde 2001; Best Tattoo Shop 2016 (Miami New Times)</t>
  </si>
  <si>
    <t xml:space="preserve">https://ochoplacastattoo.com/</t>
  </si>
  <si>
    <t xml:space="preserve">4703 SW 8th St, Miami, FL 33134</t>
  </si>
  <si>
    <t xml:space="preserve">(305) 264-0888</t>
  </si>
  <si>
    <t xml:space="preserve">ochoplacastattoo.com</t>
  </si>
  <si>
    <t xml:space="preserve">https://www.facebook.com/ochoplacas/</t>
  </si>
  <si>
    <t xml:space="preserve">https://www.yelp.com/biz/ocho-placas-tattoos-miami</t>
  </si>
  <si>
    <t xml:space="preserve">P283</t>
  </si>
  <si>
    <t xml:space="preserve">Little Havana Tattoo Studio LLC</t>
  </si>
  <si>
    <t xml:space="preserve">Estudio de tatuajes</t>
  </si>
  <si>
    <t xml:space="preserve">Registrada en 2011; solo directorios | Forma legal fuente: LLC (Sunbiz L11000090484)</t>
  </si>
  <si>
    <t xml:space="preserve">2614 SW 8th St, Miami, FL 33135</t>
  </si>
  <si>
    <t xml:space="preserve">(305) 646-1543</t>
  </si>
  <si>
    <t xml:space="preserve">https://stores-goods.com/Florida/Miami/Little_Havana_Tattoo_Studio</t>
  </si>
  <si>
    <t xml:space="preserve">P284</t>
  </si>
  <si>
    <t xml:space="preserve">The Tattoo Gallery</t>
  </si>
  <si>
    <t xml:space="preserve">Tatuajes, piercing y henna</t>
  </si>
  <si>
    <t xml:space="preserve">Establecido en 2003; solo Facebook y subdominios automáticos</t>
  </si>
  <si>
    <t xml:space="preserve">https://www.yelp.com/biz/the-tattoo-gallery-fort-lauderdale</t>
  </si>
  <si>
    <t xml:space="preserve">415 S Fort Lauderdale Beach Blvd, Unit A, Fort Lauderdale, FL 33316</t>
  </si>
  <si>
    <t xml:space="preserve">(954) 767-8833</t>
  </si>
  <si>
    <t xml:space="preserve">https://www.facebook.com/TattooGalleryFTL/</t>
  </si>
  <si>
    <t xml:space="preserve">https://local.yahoo.com/info-14348099-the-tattoo-gallery-fort-lauderdale/</t>
  </si>
  <si>
    <t xml:space="preserve">P285</t>
  </si>
  <si>
    <t xml:space="preserve">Stefano's Tattoo Studio</t>
  </si>
  <si>
    <t xml:space="preserve">Establecido en 2015; dos dominios y correo gmail</t>
  </si>
  <si>
    <t xml:space="preserve">https://www.stefanostattoofl.com/</t>
  </si>
  <si>
    <t xml:space="preserve">3145 NE 9th St, Fort Lauderdale, FL 33304</t>
  </si>
  <si>
    <t xml:space="preserve">(954) 533-5859</t>
  </si>
  <si>
    <t xml:space="preserve">stefanostattoofl.com</t>
  </si>
  <si>
    <t xml:space="preserve">https://www.facebook.com/StefanosTattooStudioFL/</t>
  </si>
  <si>
    <t xml:space="preserve">https://www.instagram.com/stefanostattoofl/</t>
  </si>
  <si>
    <t xml:space="preserve">https://www.yelp.com/biz/stefanos-tattoo-studio-fort-lauderdale</t>
  </si>
  <si>
    <t xml:space="preserve">Tabla dinámica: prospectos por condado, municipio y estado web</t>
  </si>
  <si>
    <t xml:space="preserve">Origen: hoja Prospectos. Clic derecho &gt; Actualizar tras editar datos. Filtros en la fila superior de la tabla.</t>
  </si>
  <si>
    <t xml:space="preserve">Filter</t>
  </si>
  <si>
    <t xml:space="preserve">Count - Empresa</t>
  </si>
  <si>
    <t xml:space="preserve">Total Result</t>
  </si>
  <si>
    <t xml:space="preserve">Tabla dinámica: industria × estado web (filtro: condado)</t>
  </si>
  <si>
    <t xml:space="preserve">- all -</t>
  </si>
  <si>
    <t xml:space="preserve">Tabla dinámica: nicho comercial × estado web (filtro: condado)</t>
  </si>
  <si>
    <t xml:space="preserve">Tabla dinámica: forma legal × prioridad (filtro: condado)</t>
  </si>
  <si>
    <t xml:space="preserve">A</t>
  </si>
  <si>
    <t xml:space="preserve">B</t>
  </si>
  <si>
    <t xml:space="preserve">C</t>
  </si>
  <si>
    <t xml:space="preserve">Descartada</t>
  </si>
  <si>
    <t xml:space="preserve">Tabla dinámica: presencia en redes sociales × condado (filtro: industria)</t>
  </si>
  <si>
    <t xml:space="preserve">Parámetros del puntaje</t>
  </si>
  <si>
    <t xml:space="preserve">Azul = supuestos editables. El puntaje de Prospectos se recalcula al cambiarlos.</t>
  </si>
  <si>
    <t xml:space="preserve">Peso</t>
  </si>
  <si>
    <t xml:space="preserve">Puntaje mínimo</t>
  </si>
  <si>
    <t xml:space="preserve">CPL $76–228: alto valor por cliente</t>
  </si>
  <si>
    <t xml:space="preserve">B2B, tamaño medio, baja madurez digital</t>
  </si>
  <si>
    <t xml:space="preserve">&lt; B</t>
  </si>
  <si>
    <t xml:space="preserve">CPC $5–10, alta intención local</t>
  </si>
  <si>
    <t xml:space="preserve">CPC legal $9.87+, ticket alto</t>
  </si>
  <si>
    <t xml:space="preserve">Empleados mín.</t>
  </si>
  <si>
    <t xml:space="preserve">B2B CPL $103; decisión lenta</t>
  </si>
  <si>
    <t xml:space="preserve">Fundada hasta</t>
  </si>
  <si>
    <t xml:space="preserve">B2B, catálogo/cotizador</t>
  </si>
  <si>
    <t xml:space="preserve">CPL $100</t>
  </si>
  <si>
    <t xml:space="preserve">Náutico FTL: ticket alto; auto CPL $28</t>
  </si>
  <si>
    <t xml:space="preserve">Ticket bajo, CPC $2</t>
  </si>
  <si>
    <t xml:space="preserve">Mayorista, baja demanda de search</t>
  </si>
  <si>
    <t xml:space="preserve">Tráfico local, catálogo y Google Maps</t>
  </si>
  <si>
    <t xml:space="preserve">CPL alto, cliente recurrente</t>
  </si>
  <si>
    <t xml:space="preserve">B2B local, contratos recurrentes</t>
  </si>
  <si>
    <t xml:space="preserve">Matrícula estacional, alta búsqueda local</t>
  </si>
  <si>
    <t xml:space="preserve">Ticket bajo, fuerte en redes</t>
  </si>
  <si>
    <t xml:space="preserve">Estudios y productoras: portafolio y reservas</t>
  </si>
  <si>
    <t xml:space="preserve">Sin clasificar</t>
  </si>
  <si>
    <t xml:space="preserve">Puntaje = Peso web + Peso sector + Señal tamaño (1 si ≥10 empleados/camiones o fundada ≤2000). Máx. 7. Prioridad A exige además Señal tamaño = 1 (empresa mediana/establecida). Inactive en Sunbiz = Descartada.</t>
  </si>
  <si>
    <t xml:space="preserve">Pesos de sector derivados de benchmarks Google Ads (hoja Google_Ads) y ticket de servicio esperado. Criterio propio, ajustable.</t>
  </si>
  <si>
    <t xml:space="preserve">Matriz de oportunidad por industria</t>
  </si>
  <si>
    <t xml:space="preserve">Conteos vivos desde Prospectos. Ticket y CPL = supuestos editables (azul) con fuente en Google_Ads.</t>
  </si>
  <si>
    <t xml:space="preserve">Prospectos</t>
  </si>
  <si>
    <t xml:space="preserve">Sin web</t>
  </si>
  <si>
    <t xml:space="preserve">Desordenada</t>
  </si>
  <si>
    <t xml:space="preserve">Brecha (sin web+obsoleto+desordenada)</t>
  </si>
  <si>
    <t xml:space="preserve">% brecha</t>
  </si>
  <si>
    <t xml:space="preserve">Ticket web (USD)</t>
  </si>
  <si>
    <t xml:space="preserve">Retainer mensual (USD)</t>
  </si>
  <si>
    <t xml:space="preserve">Valor potencial año 1 (USD)</t>
  </si>
  <si>
    <t xml:space="preserve">CPL ref. Google Ads (USD)</t>
  </si>
  <si>
    <t xml:space="preserve">Total</t>
  </si>
  <si>
    <t xml:space="preserve">Valor potencial año 1 = empresas con brecha × (ticket web + retainer × 12). Asume 100% de cierre: aplicar tasa de conversión real (típico B2B frío 2–5%).</t>
  </si>
  <si>
    <t xml:space="preserve">Tickets: rangos Miami web pyme $2,500–15,000; SEO local $750–3,000/mes; redes $1,000–3,000/mes (ver Google_Ads). Valores de la tabla = punto medio conservador.</t>
  </si>
  <si>
    <t xml:space="preserve">Contexto económico por área</t>
  </si>
  <si>
    <t xml:space="preserve">Census QuickFacts / ABS 2022, municipios y DataUSA. 'Estimado' = no verificado en fuente primaria.</t>
  </si>
  <si>
    <t xml:space="preserve">Área</t>
  </si>
  <si>
    <t xml:space="preserve">Población</t>
  </si>
  <si>
    <t xml:space="preserve">Año</t>
  </si>
  <si>
    <t xml:space="preserve">Firmas empleadoras (ABS 2022)</t>
  </si>
  <si>
    <t xml:space="preserve">Carácter económico</t>
  </si>
  <si>
    <t xml:space="preserve">NAICS clave</t>
  </si>
  <si>
    <t xml:space="preserve">Verificación</t>
  </si>
  <si>
    <t xml:space="preserve">2023</t>
  </si>
  <si>
    <t xml:space="preserve">Finanzas, servicios profesionales, turismo, hub LatAm</t>
  </si>
  <si>
    <t xml:space="preserve">54, 52, 72, 42</t>
  </si>
  <si>
    <t xml:space="preserve">https://www.census.gov/quickfacts/fact/table/miamicityflorida/PST045224</t>
  </si>
  <si>
    <t xml:space="preserve">2024</t>
  </si>
  <si>
    <t xml:space="preserve">Manufactura ligera, salud, construcción, transporte</t>
  </si>
  <si>
    <t xml:space="preserve">31-33, 62, 23, 48-49</t>
  </si>
  <si>
    <t xml:space="preserve">Estimado</t>
  </si>
  <si>
    <t xml:space="preserve">https://datausa.io/profile/geo/hialeah-fl/</t>
  </si>
  <si>
    <t xml:space="preserve">Logística, comercio exterior, freight forwarders (junto a MIA)</t>
  </si>
  <si>
    <t xml:space="preserve">48-49, 42, 54, 44-45</t>
  </si>
  <si>
    <t xml:space="preserve">https://www.census.gov/quickfacts/fact/table/doralcityflorida/PST045225</t>
  </si>
  <si>
    <t xml:space="preserve">2020</t>
  </si>
  <si>
    <t xml:space="preserve">Industrial pura: cemento, canteras, +350 almacenes; población diurna +60k</t>
  </si>
  <si>
    <t xml:space="preserve">31-33, 42, 48-49, 23</t>
  </si>
  <si>
    <t xml:space="preserve">Sí (municipio)</t>
  </si>
  <si>
    <t xml:space="preserve">https://www.townofmedley.com/about-us</t>
  </si>
  <si>
    <t xml:space="preserve">Hotelería, restaurantes, vida nocturna, real estate</t>
  </si>
  <si>
    <t xml:space="preserve">72, 53, 71, 81</t>
  </si>
  <si>
    <t xml:space="preserve">https://census.gov/quickfacts/fact/table/miamibeachcityflorida/POP060210</t>
  </si>
  <si>
    <t xml:space="preserve">Sedes multinacionales LatAm, legal, profesional</t>
  </si>
  <si>
    <t xml:space="preserve">54, 52, 55, 62</t>
  </si>
  <si>
    <t xml:space="preserve">https://www.census.gov/quickfacts/fact/table/coralgablescityflorida/PST045224</t>
  </si>
  <si>
    <t xml:space="preserve">Retail (Dadeland), salud (Baptist), servicios</t>
  </si>
  <si>
    <t xml:space="preserve">44-45, 62, 81, 61</t>
  </si>
  <si>
    <t xml:space="preserve">Sí (población)</t>
  </si>
  <si>
    <t xml:space="preserve">https://en.wikipedia.org/wiki/Kendall,_Florida</t>
  </si>
  <si>
    <t xml:space="preserve">Residencial, retail, Hard Rock Stadium</t>
  </si>
  <si>
    <t xml:space="preserve">44-45, 71, 81</t>
  </si>
  <si>
    <t xml:space="preserve">https://www.census.gov/quickfacts/fact/table/miamigardenscityflorida/POP060210</t>
  </si>
  <si>
    <t xml:space="preserve">Agricultura/viveros, base aérea, puerta a Cayos</t>
  </si>
  <si>
    <t xml:space="preserve">11, 44-45, 72, 23</t>
  </si>
  <si>
    <t xml:space="preserve">https://census.gov/quickfacts/fact/table/homesteadcityflorida/PST120223</t>
  </si>
  <si>
    <t xml:space="preserve">Industria náutica (111k empleos Broward), turismo, finanzas</t>
  </si>
  <si>
    <t xml:space="preserve">48-49, 72, 52, 81</t>
  </si>
  <si>
    <t xml:space="preserve">https://www.census.gov/quickfacts/fact/table/fortlauderdalecityflorida/PST045225</t>
  </si>
  <si>
    <t xml:space="preserve">2022</t>
  </si>
  <si>
    <t xml:space="preserve">Turismo de playa, retail, servicios</t>
  </si>
  <si>
    <t xml:space="preserve">72, 44-45, 81</t>
  </si>
  <si>
    <t xml:space="preserve">https://www.census.gov/quickfacts/fact/table/hollywoodcityflorida/PST045222</t>
  </si>
  <si>
    <t xml:space="preserve">Residencial, retail, salud</t>
  </si>
  <si>
    <t xml:space="preserve">44-45, 62, 81</t>
  </si>
  <si>
    <t xml:space="preserve">https://www.census.gov/quickfacts/fact/table/pembrokepinescityflorida/SBO010222</t>
  </si>
  <si>
    <t xml:space="preserve">Retail (Sawgrass Mills), oficinas corporativas</t>
  </si>
  <si>
    <t xml:space="preserve">44-45, 55, 54</t>
  </si>
  <si>
    <t xml:space="preserve">https://www.census.gov/quickfacts/fact/table/sunrisecityflorida/PST045222</t>
  </si>
  <si>
    <t xml:space="preserve">Oficinas, salud, retail</t>
  </si>
  <si>
    <t xml:space="preserve">54, 62, 44-45</t>
  </si>
  <si>
    <t xml:space="preserve">https://www.census.gov/quickfacts/fact/table/plantationcityflorida/PST045225</t>
  </si>
  <si>
    <t xml:space="preserve">Condados</t>
  </si>
  <si>
    <t xml:space="preserve">Establecimientos (CBP)</t>
  </si>
  <si>
    <t xml:space="preserve">Est. 20–99 empl.</t>
  </si>
  <si>
    <t xml:space="preserve">Est. 100–499 empl.</t>
  </si>
  <si>
    <t xml:space="preserve">Mid-market (20–499)</t>
  </si>
  <si>
    <t xml:space="preserve">% mid-market</t>
  </si>
  <si>
    <t xml:space="preserve">https://www.miamidadematters.org/indicators/index/view?indicatorId=6371&amp;localeId=414</t>
  </si>
  <si>
    <t xml:space="preserve">https://www.census.gov/quickfacts/fact/table/browardcountyflorida/PST045224</t>
  </si>
  <si>
    <t xml:space="preserve">Est. 20–99 y 100–499 = ESTIMADO (proporciones nacionales CBP ≈12% y ≈2.2%). Verificar en data.census.gov tabla CB2300CBP, FIPS 12086 y 12011.</t>
  </si>
  <si>
    <t xml:space="preserve">Adopción digital y formación de empresas</t>
  </si>
  <si>
    <t xml:space="preserve">Encuestas nacionales (no hay datos específicos de Florida) + estadísticas oficiales.</t>
  </si>
  <si>
    <t xml:space="preserve">Indicador</t>
  </si>
  <si>
    <t xml:space="preserve">Valor</t>
  </si>
  <si>
    <t xml:space="preserve">URL</t>
  </si>
  <si>
    <t xml:space="preserve">Pequeñas empresas EE.UU. sin sitio web</t>
  </si>
  <si>
    <t xml:space="preserve">17%</t>
  </si>
  <si>
    <t xml:space="preserve">2025</t>
  </si>
  <si>
    <t xml:space="preserve">Clutch</t>
  </si>
  <si>
    <t xml:space="preserve">https://clutch.co/press-releases/smb-websites-2025</t>
  </si>
  <si>
    <t xml:space="preserve">Sin sitio web (Top Design Firms)</t>
  </si>
  <si>
    <t xml:space="preserve">27%</t>
  </si>
  <si>
    <t xml:space="preserve">Top Design Firms</t>
  </si>
  <si>
    <t xml:space="preserve">https://www.prnewswire.com/news-releases/27-of-small-businesses-still-dont-have-a-website-in-2022-301542302.html</t>
  </si>
  <si>
    <t xml:space="preserve">De las que no tienen web: creen que no la necesitan</t>
  </si>
  <si>
    <t xml:space="preserve">34%</t>
  </si>
  <si>
    <t xml:space="preserve">Invierten en publicidad de búsqueda (año en curso)</t>
  </si>
  <si>
    <t xml:space="preserve">45%</t>
  </si>
  <si>
    <t xml:space="preserve">2026</t>
  </si>
  <si>
    <t xml:space="preserve">LocaliQ</t>
  </si>
  <si>
    <t xml:space="preserve">https://localiq.com/blog/small-business-marketing-trends-report-2026/</t>
  </si>
  <si>
    <t xml:space="preserve">Invierten en search con presupuesto &lt; $1k/mes</t>
  </si>
  <si>
    <t xml:space="preserve">30%</t>
  </si>
  <si>
    <t xml:space="preserve">Pymes que usan IA generativa</t>
  </si>
  <si>
    <t xml:space="preserve">58%</t>
  </si>
  <si>
    <t xml:space="preserve">US Chamber</t>
  </si>
  <si>
    <t xml:space="preserve">https://www.uschamber.com/technology/artificial-intelligence/u-s-chambers-latest-empowering-small-business-report-shows-majority-of-businesses-in-all-50-states-are-embracing-ai</t>
  </si>
  <si>
    <t xml:space="preserve">Solicitudes de negocio Florida (Census BFS)</t>
  </si>
  <si>
    <t xml:space="preserve">~634,000</t>
  </si>
  <si>
    <t xml:space="preserve">Census BFS / Business Observer</t>
  </si>
  <si>
    <t xml:space="preserve">https://www.businessobserverfl.com/news/2025/may/19/florida-new-business-formations/</t>
  </si>
  <si>
    <t xml:space="preserve">Solicitudes por 10k hab. Miami-Dade (6.º EE.UU.)</t>
  </si>
  <si>
    <t xml:space="preserve">532</t>
  </si>
  <si>
    <t xml:space="preserve">Solicitudes por 10k hab. Broward (11.º EE.UU.)</t>
  </si>
  <si>
    <t xml:space="preserve">418</t>
  </si>
  <si>
    <t xml:space="preserve">Pequeñas empresas en Florida (99.8% del total)</t>
  </si>
  <si>
    <t xml:space="preserve">3.5 M</t>
  </si>
  <si>
    <t xml:space="preserve">SBA Office of Advocacy</t>
  </si>
  <si>
    <t xml:space="preserve">https://advocacy.sba.gov/wp-content/uploads/2025/06/Florida_2025-State-Profile.pdf</t>
  </si>
  <si>
    <t xml:space="preserve">Entidades registradas en Sunbiz</t>
  </si>
  <si>
    <t xml:space="preserve">+3.5 M</t>
  </si>
  <si>
    <t xml:space="preserve">Florida Division of Corporations</t>
  </si>
  <si>
    <t xml:space="preserve">https://dos.fl.gov/sunbiz/</t>
  </si>
  <si>
    <t xml:space="preserve">Nuevas entidades Sunbiz 2025 (≈1,800/día)</t>
  </si>
  <si>
    <t xml:space="preserve">670,459 (estimado)</t>
  </si>
  <si>
    <t xml:space="preserve">Fuente secundaria; verificar en Yearly Statistics</t>
  </si>
  <si>
    <t xml:space="preserve">https://dos.fl.gov/sunbiz/about-us/yearly-statistics/</t>
  </si>
  <si>
    <t xml:space="preserve">Demandas ADA Title III en Florida (2.º estado)</t>
  </si>
  <si>
    <t xml:space="preserve">1,823</t>
  </si>
  <si>
    <t xml:space="preserve">Seyfarth ADA Title III</t>
  </si>
  <si>
    <t xml:space="preserve">https://www.adatitleiii.com/2026/02/ada-title-iii-federal-lawsuit-filings-fall-slightly-to-8667-in-2025/</t>
  </si>
  <si>
    <t xml:space="preserve">Demandas digitales ADA Florida (fed.+estatal)</t>
  </si>
  <si>
    <t xml:space="preserve">950 (24% EE.UU.)</t>
  </si>
  <si>
    <t xml:space="preserve">UsableNet</t>
  </si>
  <si>
    <t xml:space="preserve">https://blog.usablenet.com/ada-web-lawsuit-trends-2026</t>
  </si>
  <si>
    <t xml:space="preserve">Google Ads: benchmarks y precios de servicios</t>
  </si>
  <si>
    <t xml:space="preserve">WordStream/LocaliQ = muestras grandes. Keywords Miami = herramientas de agencia (orientativo). Confirmar con Keyword Planner.</t>
  </si>
  <si>
    <t xml:space="preserve">Industria / keyword</t>
  </si>
  <si>
    <t xml:space="preserve">CPC (USD)</t>
  </si>
  <si>
    <t xml:space="preserve">CPL (USD)</t>
  </si>
  <si>
    <t xml:space="preserve">Nota</t>
  </si>
  <si>
    <t xml:space="preserve">Promedio todas las industrias</t>
  </si>
  <si>
    <t xml:space="preserve">WordStream 2025 (16k+ campañas)</t>
  </si>
  <si>
    <t xml:space="preserve">https://www.wordstream.com/blog/2025-google-ads-benchmarks</t>
  </si>
  <si>
    <t xml:space="preserve">Legal / abogados</t>
  </si>
  <si>
    <t xml:space="preserve">CPC 2026; CPL más alto</t>
  </si>
  <si>
    <t xml:space="preserve">https://www.wordstream.com/blog/2026-google-ads-benchmarks</t>
  </si>
  <si>
    <t xml:space="preserve">CPC 2026; conv. 9.08%</t>
  </si>
  <si>
    <t xml:space="preserve">Médicos y cirujanos</t>
  </si>
  <si>
    <t xml:space="preserve">WordStream 2025</t>
  </si>
  <si>
    <t xml:space="preserve">Techos (roofing)</t>
  </si>
  <si>
    <t xml:space="preserve">LocaliQ home services 2025</t>
  </si>
  <si>
    <t xml:space="preserve">https://localiq.com/blog/home-services-search-advertising-benchmarks/</t>
  </si>
  <si>
    <t xml:space="preserve">Construcción</t>
  </si>
  <si>
    <t xml:space="preserve">Automotriz (reparación)</t>
  </si>
  <si>
    <t xml:space="preserve">Business services (B2B)</t>
  </si>
  <si>
    <t xml:space="preserve">Real estate</t>
  </si>
  <si>
    <t xml:space="preserve">'dentist miami'</t>
  </si>
  <si>
    <t xml:space="preserve">Herramienta de agencia; orientativo</t>
  </si>
  <si>
    <t xml:space="preserve">https://ppcchief.com/google-ads-cost/dental/miami</t>
  </si>
  <si>
    <t xml:space="preserve">Accidentes / PI Miami (inglés)</t>
  </si>
  <si>
    <t xml:space="preserve">Rango CPC $70–250+; CPL $300–1,000</t>
  </si>
  <si>
    <t xml:space="preserve">https://custom.legal/practice-areas/personal-injury-law-firm-marketing/cost-per-click-benchmarks-for-personal-injury/</t>
  </si>
  <si>
    <t xml:space="preserve">'abogado de accidentes' FL (español)</t>
  </si>
  <si>
    <t xml:space="preserve">CPC $45–85; 30–60% más barato que inglés</t>
  </si>
  <si>
    <t xml:space="preserve">https://www.greatmarketing.ai/blog/spanish-speaking-personal-injury-lawyer-marketing</t>
  </si>
  <si>
    <t xml:space="preserve">Precios de mercado de servicios digitales (Miami)</t>
  </si>
  <si>
    <t xml:space="preserve">Servicio</t>
  </si>
  <si>
    <t xml:space="preserve">Mínimo (USD)</t>
  </si>
  <si>
    <t xml:space="preserve">Máximo (USD)</t>
  </si>
  <si>
    <t xml:space="preserve">Punto medio</t>
  </si>
  <si>
    <t xml:space="preserve">Unidad</t>
  </si>
  <si>
    <t xml:space="preserve">Diseño web pyme (Miami)</t>
  </si>
  <si>
    <t xml:space="preserve">proyecto</t>
  </si>
  <si>
    <t xml:space="preserve">https://tamer.marketing/blog/web-design-cost-miami/</t>
  </si>
  <si>
    <t xml:space="preserve">Diseño web freelance / precio fijo</t>
  </si>
  <si>
    <t xml:space="preserve">https://startupstarz.com/how-much-does-a-website-cost-for-a-small-business-in-miami-2026-pricing-guide/</t>
  </si>
  <si>
    <t xml:space="preserve">SEO local pyme (Miami)</t>
  </si>
  <si>
    <t xml:space="preserve">mes</t>
  </si>
  <si>
    <t xml:space="preserve">https://tamer.marketing/blog/seo-cost-miami/</t>
  </si>
  <si>
    <t xml:space="preserve">Gestión redes sociales pyme (Miami)</t>
  </si>
  <si>
    <t xml:space="preserve">https://onceonceagency.com/social-media-management-cost-miami/</t>
  </si>
  <si>
    <t xml:space="preserve">Gestión Google Ads (fee)</t>
  </si>
  <si>
    <t xml:space="preserve">mes (10–20% del gasto, mín. ~$500)</t>
  </si>
  <si>
    <t xml:space="preserve">https://www.2pointagency.com/glossary/pricing-for-ppc-management-services-in-miami/</t>
  </si>
  <si>
    <t xml:space="preserve">Presupuesto Google Ads pyme local</t>
  </si>
  <si>
    <t xml:space="preserve">mes (inversión del cliente)</t>
  </si>
  <si>
    <t xml:space="preserve">https://www.americaneagle.com/insights/blog/post/how-much-does-it-cost-to-advertise-on-google-ads-in-2025</t>
  </si>
  <si>
    <t xml:space="preserve">Legalidad de empresas y cumplimiento comercial</t>
  </si>
  <si>
    <t xml:space="preserve">Florida Division of Corporations (Sunbiz), DBPR, BTR condado/ciudad, FTSA, TCPA, CAN-SPAM, ADA. No es asesoría legal.</t>
  </si>
  <si>
    <t xml:space="preserve">Tema</t>
  </si>
  <si>
    <t xml:space="preserve">Regla / dato</t>
  </si>
  <si>
    <t xml:space="preserve">Implicación comercial</t>
  </si>
  <si>
    <t xml:space="preserve">Fuente oficial</t>
  </si>
  <si>
    <t xml:space="preserve">Sunbiz – tipos de entidad</t>
  </si>
  <si>
    <t xml:space="preserve">Florida Profit Corp, Not For Profit, LLC, LP/LLLP, Foreign, Fictitious Name (DBA, $50, 5 años, F.S. 865.09)</t>
  </si>
  <si>
    <t xml:space="preserve">'Inc/Corp/LLC' en el nombre no confirma estatus: validar siempre en Sunbiz</t>
  </si>
  <si>
    <t xml:space="preserve">https://dos.fl.gov/sunbiz/start-business/efile/fl-fictitious-name-registration/</t>
  </si>
  <si>
    <t xml:space="preserve">Sunbiz – estados</t>
  </si>
  <si>
    <t xml:space="preserve">Active / Inactive (Admin Dissolution for Annual Report, Voluntary Dissolution, Revoked, Merged)</t>
  </si>
  <si>
    <t xml:space="preserve">Solo prospectar entidades Active; Inactive recientes = empresas desorganizadas (posible servicio)</t>
  </si>
  <si>
    <t xml:space="preserve">Sunbiz – Annual Report</t>
  </si>
  <si>
    <t xml:space="preserve">Vence 1 de mayo; LLC $138.75; recargo $400 (Corp/LLC/LP), no condonable</t>
  </si>
  <si>
    <t xml:space="preserve">Pico de disoluciones administrativas en la 4.ª semana de septiembre</t>
  </si>
  <si>
    <t xml:space="preserve">https://dos.fl.gov/sunbiz/manage-business/efile/annual-report/</t>
  </si>
  <si>
    <t xml:space="preserve">Sunbiz – datos públicos</t>
  </si>
  <si>
    <t xml:space="preserve">Document No., FEI/EIN, fecha, estado, dirección, registered agent, officers, historial</t>
  </si>
  <si>
    <t xml:space="preserve">Nombre del officer = decisor para contacto B2B</t>
  </si>
  <si>
    <t xml:space="preserve">https://dos.fl.gov/sunbiz/search/</t>
  </si>
  <si>
    <t xml:space="preserve">Sunbiz – descargas masivas</t>
  </si>
  <si>
    <t xml:space="preserve">SFTP sftp.floridados.gov: trimestral (todas las activas) y diario (nuevas altas), ancho fijo</t>
  </si>
  <si>
    <t xml:space="preserve">Fuente para lead-gen automatizado de empresas nuevas (siguiente fase)</t>
  </si>
  <si>
    <t xml:space="preserve">https://dos.fl.gov/sunbiz/other-services/data-downloads/</t>
  </si>
  <si>
    <t xml:space="preserve">DBPR – licencias</t>
  </si>
  <si>
    <t xml:space="preserve">Contratistas (CILB), hoteles y restaurantes, real estate, cosmetología, CPA, etc. 1.6M+ licenciatarios</t>
  </si>
  <si>
    <t xml:space="preserve">Cruzar licencia activa = negocio operativo y regulado</t>
  </si>
  <si>
    <t xml:space="preserve">https://www2.myfloridalicense.com/services-requiring-a-dbpr-license/</t>
  </si>
  <si>
    <t xml:space="preserve">BTR Miami-Dade</t>
  </si>
  <si>
    <t xml:space="preserve">Por local y clasificación; ciudad + condado; año fiscal 1 oct–30 sep</t>
  </si>
  <si>
    <t xml:space="preserve">Dataset abierto 'Local Business Tax – View' para prospección por dirección</t>
  </si>
  <si>
    <t xml:space="preserve">https://www.mdctaxcollector.gov/services/local-business-tax-receipt</t>
  </si>
  <si>
    <t xml:space="preserve">BTR Broward</t>
  </si>
  <si>
    <t xml:space="preserve">Obligatorio; renovación 1 jul–30 sep; tarifa por tipo y empleados</t>
  </si>
  <si>
    <t xml:space="preserve">Dataset 'Business Tax Records' en Broward GeoHub</t>
  </si>
  <si>
    <t xml:space="preserve">https://browardtax.org/business-tax-receipt/</t>
  </si>
  <si>
    <t xml:space="preserve">BTR/CU Fort Lauderdale</t>
  </si>
  <si>
    <t xml:space="preserve">BTR municipal obligatorio antes de operar (Sec. 15-28)</t>
  </si>
  <si>
    <t xml:space="preserve">Validar negocio operativo</t>
  </si>
  <si>
    <t xml:space="preserve">https://www.fortlauderdale.gov/Government/Departments/Community-Services/Business-Tax</t>
  </si>
  <si>
    <t xml:space="preserve">BTR/CU Miami Beach</t>
  </si>
  <si>
    <t xml:space="preserve">Certificate of Use + inspección bomberos + BTR</t>
  </si>
  <si>
    <t xml:space="preserve">https://www.miamibeachfl.gov/city-hall/finance/business-tax-receipts-btr/</t>
  </si>
  <si>
    <t xml:space="preserve">BTR/CU Medley</t>
  </si>
  <si>
    <t xml:space="preserve">Sin CU no hay BTR; CU municipal exige CU del condado</t>
  </si>
  <si>
    <t xml:space="preserve">https://www.townofmedley.com/local-business-tax-receipts</t>
  </si>
  <si>
    <t xml:space="preserve">FTSA (F.S. 501.059) + HB 761 (2023)</t>
  </si>
  <si>
    <t xml:space="preserve">Consentimiento escrito para llamadas/SMS de venta con sistema automatizado; $500–$1,500 por violación; STOP + 15 días antes de demandar</t>
  </si>
  <si>
    <t xml:space="preserve">NO usar marcadores/SMS masivos; llamadas manuales 1 a 1</t>
  </si>
  <si>
    <t xml:space="preserve">https://www.flsenate.gov/Committees/BillSummaries/2023/html/761</t>
  </si>
  <si>
    <t xml:space="preserve">Florida Telemarketing Act (501.601–626)</t>
  </si>
  <si>
    <t xml:space="preserve">Licencia FDACS + fianza $50k salvo exención (B2B); 8am–8pm; máx. 3 llamadas/24h</t>
  </si>
  <si>
    <t xml:space="preserve">Venta B2B exenta de licencia, no de horarios ni DNC</t>
  </si>
  <si>
    <t xml:space="preserve">https://www.fdacs.gov/Consumer-Resources/Consumer-Rights-and-Responsibilities/Telemarketing</t>
  </si>
  <si>
    <t xml:space="preserve">TCPA / DNC</t>
  </si>
  <si>
    <t xml:space="preserve">PEWC para autodialer a celulares; DNC nacional y de Florida</t>
  </si>
  <si>
    <t xml:space="preserve">Depurar móviles contra DNC antes de llamar</t>
  </si>
  <si>
    <t xml:space="preserve">https://www.fdacs.gov/Business-Services/Florida-Do-Not-Call</t>
  </si>
  <si>
    <t xml:space="preserve">CAN-SPAM</t>
  </si>
  <si>
    <t xml:space="preserve">Sin excepción B2B: remitente veraz, asunto no engañoso, dirección física, opt-out; hasta $53,088 por email</t>
  </si>
  <si>
    <t xml:space="preserve">Canal principal recomendado: email B2B 1 a 1 que cumpla</t>
  </si>
  <si>
    <t xml:space="preserve">https://www.ftc.gov/business-guidance/resources/can-spam-act-compliance-guide-business</t>
  </si>
  <si>
    <t xml:space="preserve">Florida Digital Bill of Rights</t>
  </si>
  <si>
    <t xml:space="preserve">Solo controllers con +$1,000M de ingresos + criterio Big Tech</t>
  </si>
  <si>
    <t xml:space="preserve">No aplica a la agencia ni a los prospectos pyme</t>
  </si>
  <si>
    <t xml:space="preserve">https://privacylawmap.com/states/florida</t>
  </si>
  <si>
    <t xml:space="preserve">ADA web (Title III)</t>
  </si>
  <si>
    <t xml:space="preserve">Florida: 1,823 demandas ADA Title III en 2025 (2.º de EE.UU.); ~950 digitales (24%)</t>
  </si>
  <si>
    <t xml:space="preserve">Argumento de venta: sitio accesible (WCAG 2.2 AA) reduce riesgo legal</t>
  </si>
  <si>
    <t xml:space="preserve">Portales de datos abiertos para escalar la base de prospectos</t>
  </si>
  <si>
    <t xml:space="preserve">Miami-Dade Open Data – Local Business Tax View</t>
  </si>
  <si>
    <t xml:space="preserve">https://opendata.miamidade.gov/datasets/local-business-tax-view</t>
  </si>
  <si>
    <t xml:space="preserve">Miami-Dade – Certificates of Use</t>
  </si>
  <si>
    <t xml:space="preserve">https://gis-mdc.opendata.arcgis.com/datasets/1952228619b0463cb6f9f7dc839bff88</t>
  </si>
  <si>
    <t xml:space="preserve">Broward GeoHub – Business Tax Records</t>
  </si>
  <si>
    <t xml:space="preserve">https://geohub-bcgis.opendata.arcgis.com/datasets/business-tax-records/about</t>
  </si>
  <si>
    <t xml:space="preserve">Sunbiz – descargas masivas (SFTP)</t>
  </si>
  <si>
    <t xml:space="preserve">DBPR – búsqueda de licencias</t>
  </si>
  <si>
    <t xml:space="preserve">https://www2.myfloridalicense.com/</t>
  </si>
  <si>
    <t xml:space="preserve">Metodología, alcance y limitaciones</t>
  </si>
  <si>
    <t xml:space="preserve">Investigación de escritorio con fuentes públicas gratuitas. Fecha de corte: septiembre 2026.</t>
  </si>
  <si>
    <t xml:space="preserve">Detalle</t>
  </si>
  <si>
    <t xml:space="preserve">Objetivo</t>
  </si>
  <si>
    <t xml:space="preserve">Identificar empresas medianas/establecidas en Miami-Dade y Broward (Fort Lauderdale, Kendall, Miami Beach, Medley, Doral, Hialeah, Homestead y alrededores) sin sitio web, con sitio obsoleto o con presencia digital fragmentada.</t>
  </si>
  <si>
    <t xml:space="preserve">Fuentes</t>
  </si>
  <si>
    <t xml:space="preserve">Census (QuickFacts, CBP, ABS, BFS), Florida Division of Corporations (Sunbiz), DBPR, tax collectors de Miami-Dade y Broward, sitios municipales, FDACS, FTC, Florida Senate; directorios públicos (BBB, Manta, Yelp, YellowPages, D&amp;B, Bizapedia); benchmarks WordStream/LocaliQ.</t>
  </si>
  <si>
    <t xml:space="preserve">Criterio estado web</t>
  </si>
  <si>
    <t xml:space="preserve">Sin sitio web = ningún dominio propio en resultados de búsqueda. Sitio obsoleto = señales técnicas (http sin HTTPS, .html estático, plantilla sin personalizar, erratas). Presencia desordenada = varios dominios/fichas duplicadas. Tiene web (auditar) = dominio propio, calidad no auditada.</t>
  </si>
  <si>
    <t xml:space="preserve">Limitación 1</t>
  </si>
  <si>
    <t xml:space="preserve">El estado web se infirió de fragmentos de búsqueda, no de visitas a cada sitio. Verificar antes de contactar.</t>
  </si>
  <si>
    <t xml:space="preserve">Limitación 2</t>
  </si>
  <si>
    <t xml:space="preserve">Forma legal inferida del sufijo del nombre (Inc/LLC/Corp) salvo que se indique Sunbiz. Columna 'Estado Sunbiz' queda 'Pendiente' para validación manual en search.sunbiz.org.</t>
  </si>
  <si>
    <t xml:space="preserve">Limitación 3</t>
  </si>
  <si>
    <t xml:space="preserve">Empleados y ventas = estimaciones de Manta/D&amp;B. Establecimientos 20–499 empleados por condado = estimado con proporciones nacionales.</t>
  </si>
  <si>
    <t xml:space="preserve">Limitación 4</t>
  </si>
  <si>
    <t xml:space="preserve">Muestra: 95 empresas (no censo). Sesgo hacia industrias con presencia en directorios. Cobertura baja en Miami Beach, Wynwood, restaurantes y salud.</t>
  </si>
  <si>
    <t xml:space="preserve">Siguiente fase</t>
  </si>
  <si>
    <t xml:space="preserve">Descargar datasets BTR (Miami-Dade, Broward) + archivo trimestral Sunbiz → cruzar por dirección → verificar dominio automáticamente (DNS/HTTP) → escalar a miles de prospectos con estado web medido.</t>
  </si>
  <si>
    <t xml:space="preserve">Cumplimiento</t>
  </si>
  <si>
    <t xml:space="preserve">Contacto recomendado: email B2B 1 a 1 conforme a CAN-SPAM y visita presencial. Evitar marcadores automáticos y SMS masivos (FTSA/TCPA).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</si>
</sst>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General"/>
    <numFmt numFmtId="167" formatCode="#,##0"/>
    <numFmt numFmtId="168" formatCode="0%"/>
    <numFmt numFmtId="169" formatCode="\$0.00"/>
    <numFmt numFmtId="170" formatCode="\$#,##0"/>
    <numFmt numFmtId="171" formatCode="\$#,##0.00"/>
    <numFmt numFmtId="172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4"/>
      <color rgb="FF0E7C86"/>
      <name val="Arial"/>
      <family val="0"/>
      <charset val="1"/>
    </font>
    <font>
      <b val="true"/>
      <sz val="12"/>
      <color rgb="FF1F29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E7C8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color theme="1"/>
      <name val="Arial"/>
      <family val="2"/>
      <charset val="1"/>
    </font>
    <font>
      <sz val="9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DB"/>
        <bgColor rgb="FFFFFFFF"/>
      </patternFill>
    </fill>
  </fills>
  <borders count="3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7EB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thin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CCE7E9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0E7C86"/>
        </patternFill>
      </fill>
    </dxf>
    <dxf>
      <fill>
        <patternFill>
          <bgColor rgb="FFCCE7E9"/>
        </patternFill>
      </fill>
    </dxf>
    <dxf>
      <font>
        <name val="Arial"/>
        <charset val="1"/>
        <family val="0"/>
        <b val="1"/>
        <color rgb="FFB4231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86"/>
      <rgbColor rgb="FFC0C0C0"/>
      <rgbColor rgb="FF808080"/>
      <rgbColor rgb="FF9999FF"/>
      <rgbColor rgb="FF993366"/>
      <rgbColor rgb="FFFFF9DB"/>
      <rgbColor rgb="FFCCE7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85" createdVersion="3">
  <cacheSource type="worksheet">
    <worksheetSource ref="A4:AH289" sheet="Prospectos"/>
  </cacheSource>
  <cacheFields count="34">
    <cacheField name="ID" numFmtId="0">
      <sharedItems count="285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  <s v="P016"/>
        <s v="P017"/>
        <s v="P018"/>
        <s v="P019"/>
        <s v="P020"/>
        <s v="P021"/>
        <s v="P022"/>
        <s v="P023"/>
        <s v="P024"/>
        <s v="P025"/>
        <s v="P026"/>
        <s v="P027"/>
        <s v="P028"/>
        <s v="P029"/>
        <s v="P030"/>
        <s v="P031"/>
        <s v="P032"/>
        <s v="P033"/>
        <s v="P034"/>
        <s v="P035"/>
        <s v="P036"/>
        <s v="P037"/>
        <s v="P038"/>
        <s v="P039"/>
        <s v="P040"/>
        <s v="P041"/>
        <s v="P042"/>
        <s v="P043"/>
        <s v="P044"/>
        <s v="P045"/>
        <s v="P046"/>
        <s v="P047"/>
        <s v="P048"/>
        <s v="P049"/>
        <s v="P050"/>
        <s v="P051"/>
        <s v="P052"/>
        <s v="P053"/>
        <s v="P054"/>
        <s v="P055"/>
        <s v="P056"/>
        <s v="P057"/>
        <s v="P058"/>
        <s v="P059"/>
        <s v="P060"/>
        <s v="P061"/>
        <s v="P062"/>
        <s v="P063"/>
        <s v="P064"/>
        <s v="P065"/>
        <s v="P066"/>
        <s v="P067"/>
        <s v="P068"/>
        <s v="P069"/>
        <s v="P070"/>
        <s v="P071"/>
        <s v="P072"/>
        <s v="P073"/>
        <s v="P074"/>
        <s v="P075"/>
        <s v="P076"/>
        <s v="P077"/>
        <s v="P078"/>
        <s v="P079"/>
        <s v="P080"/>
        <s v="P081"/>
        <s v="P082"/>
        <s v="P083"/>
        <s v="P084"/>
        <s v="P085"/>
        <s v="P086"/>
        <s v="P087"/>
        <s v="P088"/>
        <s v="P089"/>
        <s v="P090"/>
        <s v="P091"/>
        <s v="P092"/>
        <s v="P093"/>
        <s v="P094"/>
        <s v="P095"/>
        <s v="P096"/>
        <s v="P097"/>
        <s v="P098"/>
        <s v="P099"/>
        <s v="P100"/>
        <s v="P101"/>
        <s v="P102"/>
        <s v="P103"/>
        <s v="P104"/>
        <s v="P105"/>
        <s v="P106"/>
        <s v="P107"/>
        <s v="P108"/>
        <s v="P109"/>
        <s v="P110"/>
        <s v="P111"/>
        <s v="P112"/>
        <s v="P113"/>
        <s v="P114"/>
        <s v="P115"/>
        <s v="P116"/>
        <s v="P117"/>
        <s v="P118"/>
        <s v="P119"/>
        <s v="P120"/>
        <s v="P121"/>
        <s v="P122"/>
        <s v="P123"/>
        <s v="P124"/>
        <s v="P125"/>
        <s v="P126"/>
        <s v="P127"/>
        <s v="P128"/>
        <s v="P129"/>
        <s v="P130"/>
        <s v="P131"/>
        <s v="P132"/>
        <s v="P133"/>
        <s v="P134"/>
        <s v="P135"/>
        <s v="P136"/>
        <s v="P137"/>
        <s v="P138"/>
        <s v="P139"/>
        <s v="P140"/>
        <s v="P141"/>
        <s v="P142"/>
        <s v="P143"/>
        <s v="P144"/>
        <s v="P145"/>
        <s v="P146"/>
        <s v="P147"/>
        <s v="P148"/>
        <s v="P149"/>
        <s v="P150"/>
        <s v="P151"/>
        <s v="P152"/>
        <s v="P153"/>
        <s v="P154"/>
        <s v="P155"/>
        <s v="P156"/>
        <s v="P157"/>
        <s v="P158"/>
        <s v="P159"/>
        <s v="P160"/>
        <s v="P161"/>
        <s v="P162"/>
        <s v="P163"/>
        <s v="P164"/>
        <s v="P165"/>
        <s v="P166"/>
        <s v="P167"/>
        <s v="P168"/>
        <s v="P169"/>
        <s v="P170"/>
        <s v="P171"/>
        <s v="P172"/>
        <s v="P173"/>
        <s v="P174"/>
        <s v="P175"/>
        <s v="P176"/>
        <s v="P177"/>
        <s v="P178"/>
        <s v="P179"/>
        <s v="P180"/>
        <s v="P181"/>
        <s v="P182"/>
        <s v="P183"/>
        <s v="P184"/>
        <s v="P185"/>
        <s v="P186"/>
        <s v="P187"/>
        <s v="P188"/>
        <s v="P189"/>
        <s v="P190"/>
        <s v="P191"/>
        <s v="P192"/>
        <s v="P193"/>
        <s v="P194"/>
        <s v="P195"/>
        <s v="P196"/>
        <s v="P197"/>
        <s v="P198"/>
        <s v="P199"/>
        <s v="P200"/>
        <s v="P201"/>
        <s v="P202"/>
        <s v="P203"/>
        <s v="P204"/>
        <s v="P205"/>
        <s v="P206"/>
        <s v="P207"/>
        <s v="P208"/>
        <s v="P209"/>
        <s v="P210"/>
        <s v="P211"/>
        <s v="P212"/>
        <s v="P213"/>
        <s v="P214"/>
        <s v="P215"/>
        <s v="P216"/>
        <s v="P217"/>
        <s v="P218"/>
        <s v="P219"/>
        <s v="P220"/>
        <s v="P221"/>
        <s v="P222"/>
        <s v="P223"/>
        <s v="P224"/>
        <s v="P225"/>
        <s v="P226"/>
        <s v="P227"/>
        <s v="P228"/>
        <s v="P229"/>
        <s v="P230"/>
        <s v="P231"/>
        <s v="P232"/>
        <s v="P233"/>
        <s v="P234"/>
        <s v="P235"/>
        <s v="P236"/>
        <s v="P237"/>
        <s v="P238"/>
        <s v="P239"/>
        <s v="P240"/>
        <s v="P241"/>
        <s v="P242"/>
        <s v="P243"/>
        <s v="P244"/>
        <s v="P245"/>
        <s v="P246"/>
        <s v="P247"/>
        <s v="P248"/>
        <s v="P249"/>
        <s v="P250"/>
        <s v="P251"/>
        <s v="P252"/>
        <s v="P253"/>
        <s v="P254"/>
        <s v="P255"/>
        <s v="P256"/>
        <s v="P257"/>
        <s v="P258"/>
        <s v="P259"/>
        <s v="P260"/>
        <s v="P261"/>
        <s v="P262"/>
        <s v="P263"/>
        <s v="P264"/>
        <s v="P265"/>
        <s v="P266"/>
        <s v="P267"/>
        <s v="P268"/>
        <s v="P269"/>
        <s v="P270"/>
        <s v="P271"/>
        <s v="P272"/>
        <s v="P273"/>
        <s v="P274"/>
        <s v="P275"/>
        <s v="P276"/>
        <s v="P277"/>
        <s v="P278"/>
        <s v="P279"/>
        <s v="P280"/>
        <s v="P281"/>
        <s v="P282"/>
        <s v="P283"/>
        <s v="P284"/>
        <s v="P285"/>
      </sharedItems>
    </cacheField>
    <cacheField name="Empresa" numFmtId="0">
      <sharedItems count="285">
        <s v="2000 Cafe Inc"/>
        <s v="24 Hour Traffic &amp; Driving School"/>
        <s v="4 U Unlimited"/>
        <s v="42nd Street Recording Studios"/>
        <s v="A &amp; D Animal Hospital Inc"/>
        <s v="A &amp; G Insurance Inc"/>
        <s v="A &amp; W Complete Lawn Care Inc"/>
        <s v="A Labor of Love Dog Grooming Salon"/>
        <s v="A-1 Mirta Driving School"/>
        <s v="AA Florida Pallets Inc"/>
        <s v="Al's Auto Service Center"/>
        <s v="Albert's Fine Jewelers Inc"/>
        <s v="Alexandria's Grooming Inc"/>
        <s v="All Power Marine Boat Lifts &amp; Docks"/>
        <s v="All Star Aluminum Windows &amp; Doors Inc"/>
        <s v="All Uniform Wear"/>
        <s v="All Welding and Machine Shop Inc"/>
        <s v="AllStar Insurance Services Inc"/>
        <s v="Allsteel &amp; Gypsum Products Inc"/>
        <s v="ALS Medical Group Inc"/>
        <s v="Amigo Pallets Inc"/>
        <s v="Aventura Dental Arts"/>
        <s v="B.O.S. Jewelers Inc"/>
        <s v="Ballroom Events Banquet Hall"/>
        <s v="Barahona's Food Distributor LLC"/>
        <s v="Beauty Schools of America (Hialeah)"/>
        <s v="Bellis Perfumes"/>
        <s v="Best Dry Cleaners &amp; Shoe Repair"/>
        <s v="Big Beat Productions Inc"/>
        <s v="Bikini Brasil"/>
        <s v="Birch Patio Motel"/>
        <s v="Botanica Ache Iboru"/>
        <s v="Botanica Almacenes Inshe"/>
        <s v="Botanica Ibu Kole5"/>
        <s v="Botanica Nena"/>
        <s v="Botanica Olocun"/>
        <s v="Botanica Teniola"/>
        <s v="Brothers Produce Inc"/>
        <s v="Cameron Law Group"/>
        <s v="Carolina's Design &amp; Alterations"/>
        <s v="Carroll's Jewelers"/>
        <s v="Chantilly Jewels"/>
        <s v="Chez Madame John's Restaurant"/>
        <s v="Chocolada Bakery &amp; Cafe Inc"/>
        <s v="Chung's Kung Fu and Tai Chi Academy"/>
        <s v="Classic Pawn &amp; Jewelry"/>
        <s v="Cleaners At Doral"/>
        <s v="Complete Yacht Care Inc"/>
        <s v="Complete Yacht Service"/>
        <s v="Conavenca Freight Forwarder LLC"/>
        <s v="Construct Group Corp"/>
        <s v="Continental Insurance Office LLC"/>
        <s v="Continental Trust Mortgage"/>
        <s v="Coral Gables Florist"/>
        <s v="Criteria Recording Studios"/>
        <s v="CV AC Expert LLC"/>
        <s v="CYMA Truck Repair"/>
        <s v="Darby's Florist Shop Inc"/>
        <s v="Deborah James"/>
        <s v="Delio Photo Studio"/>
        <s v="Diamond Venue Doral"/>
        <s v="Diane Oceanfront Suites"/>
        <s v="Dixie Pawn &amp; Jewelry"/>
        <s v="Doral Bakery &amp; Cafeteria"/>
        <s v="Doral Family Dental"/>
        <s v="Doral Freight Logistics Inc"/>
        <s v="E&amp;P Printing Corp"/>
        <s v="Eduardo's Jewelry &amp; Watch Repair Shop"/>
        <s v="Egg &amp; You Diner"/>
        <s v="El Bajareque Restaurant"/>
        <s v="El Diamante Jewelry &amp; Pawn"/>
        <s v="El Exquisito Restaurant"/>
        <s v="El Rey de las Fritas"/>
        <s v="El Yoyito Restaurant y Cafetería"/>
        <s v="Elegant Parties"/>
        <s v="Elio's Locksmith"/>
        <s v="Elite Yachting Solutions LLC"/>
        <s v="Entonces Watch &amp; Jewelry Inc"/>
        <s v="Envios 22-24 Inc"/>
        <s v="Excellent Fruit &amp; Produce Inc"/>
        <s v="Excellent Pharmacy &amp; Discount"/>
        <s v="Exotic Eyewear Optical"/>
        <s v="Eyeglass Emporium"/>
        <s v="Farley Veterinary Clinic"/>
        <s v="Fast Lane Auto Repairs"/>
        <s v="Felix Pardo &amp; Associates Inc"/>
        <s v="Felix Varela Medical Clinic Inc"/>
        <s v="Ferrara Auto Spa"/>
        <s v="Fiesta Party Rentals LLC"/>
        <s v="First Class Air Conditioning &amp; Appliance Inc"/>
        <s v="First Sign Corp"/>
        <s v="Flamingo Fishing"/>
        <s v="Florida Insurance &amp; Plus LLC"/>
        <s v="Florida Paving &amp; Trucking Inc"/>
        <s v="Florida Pest Specialists Inc"/>
        <s v="Floridian Pest Control"/>
        <s v="Forbes Architects"/>
        <s v="Frame Art"/>
        <s v="Frases &amp; Frases Insurance Agency Inc"/>
        <s v="Gables Bridal at Doral"/>
        <s v="Giralda Cleaners Inc"/>
        <s v="Gladys Tire Corp"/>
        <s v="Global Cargo Connection Inc"/>
        <s v="Golden Sand Motel"/>
        <s v="Gondia Machine Shop"/>
        <s v="Hadley Davis Funeral Home"/>
        <s v="Havana Collection"/>
        <s v="Hialeah Bakery and Foods Inc"/>
        <s v="Hialeah Plumbing Supply Company"/>
        <s v="High Quality Trucking Inc"/>
        <s v="Home Hardware &amp; Supply Inc"/>
        <s v="Home Optical"/>
        <s v="Homerun Barbershop"/>
        <s v="Hooray's From Hollywood Inc"/>
        <s v="Humberto's Shoe, Luggage Repair &amp; Tailor"/>
        <s v="I've Been Framed"/>
        <s v="IDolls Boutique"/>
        <s v="International Cruise Food &amp; Hotel Suppliers Inc"/>
        <s v="Isabel Boutique"/>
        <s v="Island House South Beach"/>
        <s v="J J Freight Brokerage Inc"/>
        <s v="Jae's Jewelers LLC"/>
        <s v="Jeaneration Boutique &amp; Alterations"/>
        <s v="Jeff Rogow Upholstery"/>
        <s v="Joan's Florist"/>
        <s v="Joe's Barber Shop"/>
        <s v="Jonel Knitting Mills Inc"/>
        <s v="Jose M Del Valle DDS PA"/>
        <s v="Just Plumbing"/>
        <s v="K &amp; K Dental Associates"/>
        <s v="Kangaroo Boxing Gym"/>
        <s v="Kendale Air Conditioning Inc"/>
        <s v="Kendall Conservatory of Music Inc"/>
        <s v="Kendall Jewelry"/>
        <s v="Kendall Medical Center Inc"/>
        <s v="Kendall South Medical Center Inc"/>
        <s v="Kendall's Bakery Restaurant"/>
        <s v="Khai Le's Alterations &amp; Dry Cleaning"/>
        <s v="King's Pawn"/>
        <s v="Krome Auto and Tire Inc"/>
        <s v="Kryterion Property Services LLC"/>
        <s v="L'Auberge Haitian Restaurant"/>
        <s v="L'Estetica Salon"/>
        <s v="La Belle Beauty School Inc"/>
        <s v="La Belle Perfume Distributors"/>
        <s v="La Casa de las Guayaberas (Ramón Puig)"/>
        <s v="Land &amp; Sea Air Conditioning of South Florida Inc"/>
        <s v="LaRosa Diesel Mechanical"/>
        <s v="Lasseter Plumbing Company Inc"/>
        <s v="Latin Cafe 2000"/>
        <s v="Le Look Optical Inc"/>
        <s v="Lendoiro Jewelry &amp; Pawn Shop"/>
        <s v="Lindsay-Taylor Property Management Inc"/>
        <s v="Liner Growers Nursery"/>
        <s v="Little Havana Tattoo Studio LLC"/>
        <s v="Lois Alteration Shop"/>
        <s v="Loman Distributors Inc"/>
        <s v="Lopez Optical Inc"/>
        <s v="Los Tres Conejitos Bakery"/>
        <s v="Magic Tailoring"/>
        <s v="Magique Hair Salon"/>
        <s v="Magnolia Fashion Wholesale"/>
        <s v="Malu Plumbing Inc"/>
        <s v="Manny's Plumbing Service"/>
        <s v="Manuel Diaz Farms Inc"/>
        <s v="Marante Distributors Corp"/>
        <s v="Marante Forwarding Co Inc"/>
        <s v="Marcella's Fashion Boutique"/>
        <s v="Marina Road Boat Yard"/>
        <s v="Mark's Quality Cleaners &amp; Laundry"/>
        <s v="Markon Realty And Management Inc"/>
        <s v="Martin Accounting &amp; Tax Service"/>
        <s v="Martinez Distributors Inc"/>
        <s v="McIntyre Maintenance Inc"/>
        <s v="Medallion Nurseries"/>
        <s v="Medina &amp; Son Plumbing Supply Inc"/>
        <s v="Medley Machine Shop Inc"/>
        <s v="Medley Steel and Supply Inc"/>
        <s v="Metro Traffic School"/>
        <s v="Mi Casa Furniture"/>
        <s v="Miami Beach Chiropractic &amp; Rehabilitation Center PA"/>
        <s v="Miami Income Tax Corp"/>
        <s v="Million Air Conditioning Corp"/>
        <s v="Minebender Jewelers"/>
        <s v="Miro's Watch Repair"/>
        <s v="Montero Dental Center Inc"/>
        <s v="Morningstar's Jewelers &amp; Pawnbrokers"/>
        <s v="Mortgage Funding Group Inc"/>
        <s v="Murnor Studio"/>
        <s v="Music Arts Enterprises (MAE)"/>
        <s v="Music Legacies"/>
        <s v="Music Tech Studios Inc"/>
        <s v="Nana's Child Care Learning Center Inc"/>
        <s v="Neighbors Moving Services Inc"/>
        <s v="Nemaro Jewelers Inc"/>
        <s v="New England Plumbing"/>
        <s v="Norman's Tavern"/>
        <s v="Oasis Travel and Tours Inc"/>
        <s v="Ocean Freight Link"/>
        <s v="Ocho Placas Tattoo Company"/>
        <s v="Olem Shoe Corp"/>
        <s v="Opportunity Insurance Inc"/>
        <s v="Original Look"/>
        <s v="Orthopedic Rehabilitation Specialists Inc"/>
        <s v="Our Shop Auto Repairs Inc"/>
        <s v="Pablo's Machine Shop &amp; Welding Corp"/>
        <s v="Panther &amp; Co Inc"/>
        <s v="Parko Jewelry &amp; Pawn"/>
        <s v="Pina Fashions Inc (Pina Boutique)"/>
        <s v="Pines Alteration"/>
        <s v="Plantation Chiropractic Center Inc"/>
        <s v="Plumbing Experts"/>
        <s v="Pompano Beach Texaco"/>
        <s v="Pro Collision Center LLC"/>
        <s v="Professional Plumbing Corp"/>
        <s v="Professional Tailoring Inc"/>
        <s v="Promptus LLC"/>
        <s v="Puerto Sagua Restaurant"/>
        <s v="Quality Growers Inc"/>
        <s v="R K A Xpress Inc"/>
        <s v="R Plants Inc"/>
        <s v="Ramallo Insurance Inc"/>
        <s v="Rana Furniture (Hialeah)"/>
        <s v="RBTT Boxing Gym"/>
        <s v="Richard's Gems &amp; Jewelry"/>
        <s v="Rivas Immigration Law"/>
        <s v="Rocco Plumbing Inc"/>
        <s v="Rock &amp; Rose Lawn Care LLC"/>
        <s v="Rubio Pharmacy &amp; Discount Inc"/>
        <s v="S &amp; A Watch Repair Corp"/>
        <s v="S.A. Marine Services LLC"/>
        <s v="Safeguard Security International Inc"/>
        <s v="Sam S. Accursio &amp; Sons Farms"/>
        <s v="Santo's Barber Shop"/>
        <s v="Sari Express Forwarders Inc"/>
        <s v="Sartori Amici / My Grooms Room"/>
        <s v="Senaduana Freight Forwarders Inc"/>
        <s v="Ship Side Service Inc"/>
        <s v="Shirts R Us of Hollywood Inc"/>
        <s v="Shoe Gallery Inc"/>
        <s v="Shoreline Marine LLC"/>
        <s v="Solo Printing LLC"/>
        <s v="South Florida Sign Company"/>
        <s v="Sport and Dance Academy"/>
        <s v="Steel Works Rebar Fabricators LLC"/>
        <s v="Stefano's Tattoo Studio"/>
        <s v="Structural Prestressed Industries Inc"/>
        <s v="Sudsies Dry Cleaners"/>
        <s v="Super Diesel Truck Repair Inc"/>
        <s v="Superior Stainless &amp; Yacht Repair"/>
        <s v="T&amp;D Air Conditioning Inc"/>
        <s v="Tailor Republic"/>
        <s v="Tango Body Shop"/>
        <s v="Targa Insurance Inc"/>
        <s v="Tarks of Dania Beach"/>
        <s v="Tattoos by Lou – North Miami"/>
        <s v="Tax Recovery Services Inc"/>
        <s v="Team Perfume Center"/>
        <s v="The Auto Spot"/>
        <s v="The Endowment Banquet Hall"/>
        <s v="The Guitar Nook Inc"/>
        <s v="The Hit Music Studio"/>
        <s v="The Magic Dance Studio &amp; Academy LLC"/>
        <s v="The Original Cuban Barbershop LLC"/>
        <s v="The Perfect Fit Custom Tailoring"/>
        <s v="The Tattoo Gallery"/>
        <s v="The Temple House"/>
        <s v="Three Js Management Corporation"/>
        <s v="Tire Factory Outlet Inc"/>
        <s v="Tires World Corp"/>
        <s v="TMC Import &amp; Export Co"/>
        <s v="Top Quality Yachts Refinishing &amp; Refurbishing"/>
        <s v="Total Travel Marine"/>
        <s v="Tropical Pharmacy Inc"/>
        <s v="Truck Brokerage by National Inc"/>
        <s v="Warehouse Uniform &amp; Embroidery Inc"/>
        <s v="Watch Repair Inc"/>
        <s v="We Buy Gold NMB"/>
        <s v="Wise Choice Tutoring Center Inc"/>
        <s v="Wynwood Car Wash"/>
        <s v="Wynwood Studio"/>
        <s v="Yacht Mechanics of Florida"/>
        <s v="Yachting Bliss"/>
        <s v="YMP Real Estate Management LLC"/>
        <s v="Zaidspiner Income Tax Service"/>
      </sharedItems>
    </cacheField>
    <cacheField name="Municipio" numFmtId="0">
      <sharedItems count="29">
        <s v="Aventura"/>
        <s v="Coral Gables"/>
        <s v="Coral Springs"/>
        <s v="Dania Beach"/>
        <s v="Davie"/>
        <s v="Doral"/>
        <s v="Fort Lauderdale"/>
        <s v="Hialeah"/>
        <s v="Hialeah Gardens"/>
        <s v="Hollywood"/>
        <s v="Homestead"/>
        <s v="Kendall"/>
        <s v="Margate"/>
        <s v="Medley"/>
        <s v="Miami (ciudad)"/>
        <s v="Miami Beach"/>
        <s v="Miami Gardens"/>
        <s v="Miami Shores"/>
        <s v="Miramar"/>
        <s v="North Miami"/>
        <s v="North Miami Beach"/>
        <s v="Pembroke Pines"/>
        <s v="Plantation"/>
        <s v="Pompano Beach"/>
        <s v="Sunrise"/>
        <s v="Sweetwater"/>
        <s v="Tamarac"/>
        <s v="West Miami"/>
        <s v="Weston"/>
      </sharedItems>
    </cacheField>
    <cacheField name="Barrio/zona" numFmtId="0">
      <sharedItems containsBlank="1" count="11">
        <s v="Allapattah"/>
        <s v="Bird Road"/>
        <s v="Coral Way"/>
        <s v="Downtown"/>
        <s v="Little Havana"/>
        <s v="Little River"/>
        <s v="Seybold"/>
        <s v="SW 8th St"/>
        <s v="West Flagler"/>
        <s v="Wynwood"/>
        <m/>
      </sharedItems>
    </cacheField>
    <cacheField name="Condado" numFmtId="0">
      <sharedItems count="2">
        <s v="Broward"/>
        <s v="Miami-Dade"/>
      </sharedItems>
    </cacheField>
    <cacheField name="Sector (detalle)" numFmtId="0">
      <sharedItems count="220">
        <s v="Academia de baile"/>
        <s v="Academia de baile y deporte"/>
        <s v="Academia de música"/>
        <s v="Administración de propiedades"/>
        <s v="Agencia de seguros"/>
        <s v="Agencia de seguros independiente"/>
        <s v="Agencia de viajes"/>
        <s v="Agencia de viajes para tripulaciones y cruceros"/>
        <s v="Agricultura/empacadora"/>
        <s v="Alquiler de equipo para eventos"/>
        <s v="Alquiler para fiestas"/>
        <s v="Arquitectura y construcción"/>
        <s v="Arquitectura, interiores y planificación"/>
        <s v="Arreglos de ropa"/>
        <s v="Arreglos y confección a medida"/>
        <s v="Arreglos y sastrería"/>
        <s v="Arreglos y tintorería"/>
        <s v="Arreglos, sastrería y bordado"/>
        <s v="Artes marciales"/>
        <s v="Autoescuela"/>
        <s v="Autoescuela / curso de tránsito"/>
        <s v="Autoescuela / escuela de tránsito"/>
        <s v="Autolavado"/>
        <s v="Automotriz - carrocería"/>
        <s v="Automotriz - taller"/>
        <s v="Automotriz - taller/estación"/>
        <s v="Automotriz - taller/llantas"/>
        <s v="Bar &amp; grill"/>
        <s v="Barbería"/>
        <s v="Barbería familiar"/>
        <s v="Bordado y serigrafía"/>
        <s v="Botánica"/>
        <s v="Botánica (6,000+ artículos, envíos)"/>
        <s v="Botánica / almacén"/>
        <s v="Botánica / artículos religiosos y mascotas"/>
        <s v="Boutique de moda italiana"/>
        <s v="Boutique de moda italiana y sastrería"/>
        <s v="Boutique de mujer con arreglos"/>
        <s v="Boutique de mujer de gama alta"/>
        <s v="Boutique de ropa de mujer"/>
        <s v="Boutique de ropa y accesorios de mujer"/>
        <s v="Broker hipotecario"/>
        <s v="Bufete de inmigración"/>
        <s v="Bufete de lesiones personales y accidentes"/>
        <s v="Cafetería / heladería"/>
        <s v="Cafetería/restaurante cubano (ventanita)"/>
        <s v="Calzado y sneakers"/>
        <s v="Casa de empeño y compra de oro"/>
        <s v="Cerrajería residencial, comercial y automotriz"/>
        <s v="Charters de pesca"/>
        <s v="Clínica dental"/>
        <s v="Clínica dental general"/>
        <s v="Clínica médica"/>
        <s v="Clínica veterinaria"/>
        <s v="Clínica veterinaria y grooming"/>
        <s v="Compra de oro, plata y monedas"/>
        <s v="Consultorio dental"/>
        <s v="Contabilidad, impuestos y resolución IRS"/>
        <s v="Contabilidad, income tax y nómina"/>
        <s v="Contratista civil (FDOT)"/>
        <s v="Contratista de plomería comercial"/>
        <s v="Control de plagas"/>
        <s v="Control de plagas y fauna"/>
        <s v="Detailing de autos"/>
        <s v="Diner familiar"/>
        <s v="Distribución alimentaria a cruceros"/>
        <s v="Distribución de acero"/>
        <s v="Distribución de alimentos"/>
        <s v="Distribución materiales de construcción"/>
        <s v="Distribución mayorista"/>
        <s v="Distribución suministros de plomería"/>
        <s v="DJs, bandas y producción de eventos"/>
        <s v="Empeño y joyería familiar"/>
        <s v="Empeño, oro, diamantes y Rolex"/>
        <s v="Enmarcado a medida"/>
        <s v="Enmarcado a medida y galería"/>
        <s v="Envío de dinero y paquetería"/>
        <s v="Escuela de belleza"/>
        <s v="Escuela de belleza y cosmetología"/>
        <s v="Escuela de música"/>
        <s v="Escuela y tienda de música"/>
        <s v="Espacio de producción y eventos con estudio"/>
        <s v="Estudio de grabación profesional (7 estudios)"/>
        <s v="Estudio de grabación y producción"/>
        <s v="Estudio de tatuajes"/>
        <s v="Estudio fotográfico"/>
        <s v="Estudio fotográfico, enmarcado y restauración"/>
        <s v="Estudio y academia de música"/>
        <s v="Fabricación de acero/varilla"/>
        <s v="Fabricación y venta de guayaberas"/>
        <s v="Fabricación/reciclaje de paletas"/>
        <s v="Farmacia independiente"/>
        <s v="Ferretería (plomería, pintura, eléctrico)"/>
        <s v="Fisioterapia independiente"/>
        <s v="Floristería"/>
        <s v="Floristería con entrega diaria"/>
        <s v="Floristería con entrega el mismo día"/>
        <s v="Funeraria (2 sedes)"/>
        <s v="Gimnasio de boxeo"/>
        <s v="Guardería / VPK"/>
        <s v="Guayaberas y sombreros"/>
        <s v="Hotel pequeño / casa de huéspedes"/>
        <s v="HVAC"/>
        <s v="HVAC/electrodomésticos"/>
        <s v="Import/export (embalaje y equipos)"/>
        <s v="Imprenta comercial y gran formato"/>
        <s v="Imprenta litográfica (planta de 180,000 ft²)"/>
        <s v="Income tax, ITIN, nómina y notaría"/>
        <s v="Joyería familiar y diseño a medida"/>
        <s v="Joyería familiar y empeño"/>
        <s v="Joyería fina"/>
        <s v="Joyería fina y a medida"/>
        <s v="Joyería fina y reparación de relojes"/>
        <s v="Joyería fina, reparación y tasaciones"/>
        <s v="Joyería y reparación de relojes"/>
        <s v="Joyería, diamantes y piedras preciosas"/>
        <s v="Joyería, diamantes y relojes"/>
        <s v="Joyería, empeño y relojes de lujo"/>
        <s v="Joyería, empeño y reparación"/>
        <s v="Llantas nuevas y usadas, mecánica"/>
        <s v="Llantas y mecánica"/>
        <s v="Llantas y taller"/>
        <s v="Local de eventos y bodas (hasta 450)"/>
        <s v="Logística - broker de carga"/>
        <s v="Logística - consolidación de carga"/>
        <s v="Logística - freight forwarding"/>
        <s v="Logística - transporte"/>
        <s v="Mantenimiento de césped"/>
        <s v="Manufactura textil (tejidos de punto)"/>
        <s v="Maquinado/soldadura industrial"/>
        <s v="Marisquería familiar"/>
        <s v="Mayorista B2B de ropa de mujer"/>
        <s v="Mayorista carnes y mariscos"/>
        <s v="Mayorista de calzado y marca blanca"/>
        <s v="Mayorista de fragancias"/>
        <s v="Mayorista frutas y verduras"/>
        <s v="Medicina familiar"/>
        <s v="Medicina familiar / accidentes de auto"/>
        <s v="Motel familiar frente al mar"/>
        <s v="Motel frente al mar"/>
        <s v="Motel pequeño"/>
        <s v="Mudanzas y almacenaje"/>
        <s v="Mueblería (cadena familiar)"/>
        <s v="Mueblería (muebles, colchones, pisos)"/>
        <s v="Náutico - boat lifts"/>
        <s v="Náutico - boatyard"/>
        <s v="Náutico - lifts/docks"/>
        <s v="Náutico - mantenimiento yates"/>
        <s v="Náutico - mecánica/hidráulica"/>
        <s v="Náutico - motores/partes y servicio"/>
        <s v="Náutico - pintura/refinish yates"/>
        <s v="Náutico - reparación"/>
        <s v="Náutico - reparación/refit"/>
        <s v="Náutico - servicios"/>
        <s v="Náutico - servicios a yates"/>
        <s v="Náutico - soldadura/inox yates"/>
        <s v="Odontología estética con laboratorio"/>
        <s v="Óptica de gafas de diseñador"/>
        <s v="Óptica familiar"/>
        <s v="Óptica independiente"/>
        <s v="Óptica y optometría"/>
        <s v="Paisajismo y mantenimiento de jardines"/>
        <s v="Paisajismo y preparación de unidades"/>
        <s v="Panadería"/>
        <s v="Panadería/cafetería cubana"/>
        <s v="Panadería/restaurante"/>
        <s v="Pastelería europea y restaurante"/>
        <s v="Pavimentación/movimiento de tierra"/>
        <s v="Peluquería canina"/>
        <s v="Peluquería de mascotas"/>
        <s v="Perfumería de fragancias de diseñador"/>
        <s v="Perfumería minorista y mayorista"/>
        <s v="Plomería"/>
        <s v="Prefabricados de concreto"/>
        <s v="Preparación de impuestos"/>
        <s v="Quiropráctica"/>
        <s v="Quiropráctica y rehabilitación"/>
        <s v="Reparación camiones diésel"/>
        <s v="Reparación de calzado y sastrería"/>
        <s v="Reparación de relojes"/>
        <s v="Reparación de relojes de alta gama"/>
        <s v="Reparación de relojes y joyas"/>
        <s v="Restaurante"/>
        <s v="Restaurante familiar cubano"/>
        <s v="Restaurante familiar haitiano"/>
        <s v="Restaurante familiar puertorriqueño"/>
        <s v="Restaurante haitiano para llevar"/>
        <s v="Ropa formal de hombre y trajes a medida"/>
        <s v="Rótulos, gráficos e impresión"/>
        <s v="Rótulos, impresión y diseño"/>
        <s v="Salón de banquetes"/>
        <s v="Salón de banquetes para quinces y bodas"/>
        <s v="Salón de belleza"/>
        <s v="Sastrería para clientes retail de marca"/>
        <s v="Sastrería y arreglos"/>
        <s v="Sastrería y arreglos de novia y gala"/>
        <s v="Seguridad / alarmas"/>
        <s v="Seguros de hogar, flood y auto"/>
        <s v="Soldadura/taller industrial"/>
        <s v="Taller mecánico industrial"/>
        <s v="Taller mecánico y llantas"/>
        <s v="Tapicería de muebles a medida"/>
        <s v="Tatuajes a medida"/>
        <s v="Tatuajes y piercing (3 sedes)"/>
        <s v="Tatuajes, piercing y henna"/>
        <s v="Tienda de guitarras con clases y reparación"/>
        <s v="Tienda de novias"/>
        <s v="Tienda y reparación de instrumentos, sonido e iluminación"/>
        <s v="Tintorería"/>
        <s v="Tintorería y zapatería"/>
        <s v="Tintorería/lavandería"/>
        <s v="Trajes de baño brasileños"/>
        <s v="Transporte de carga (roca/arena)"/>
        <s v="Transporte de carga/contenedores"/>
        <s v="Transporte y almacenaje"/>
        <s v="Tutorías K-12 y SAT/ACT"/>
        <s v="Uniformes médicos, escolares y de trabajo"/>
        <s v="Uniformes, bordado y serigrafía"/>
        <s v="Ventanas/puertas de aluminio"/>
        <s v="Vivero mayorista"/>
      </sharedItems>
    </cacheField>
    <cacheField name="NAICS" numFmtId="0">
      <sharedItems count="19">
        <s v="11"/>
        <s v="23"/>
        <s v="31"/>
        <s v="32"/>
        <s v="33"/>
        <s v="42"/>
        <s v="44"/>
        <s v="45"/>
        <s v="48"/>
        <s v="51"/>
        <s v="52"/>
        <s v="53"/>
        <s v="54"/>
        <s v="56"/>
        <s v="61"/>
        <s v="62"/>
        <s v="71"/>
        <s v="72"/>
        <s v="81"/>
      </sharedItems>
    </cacheField>
    <cacheField name="Industria (NAICS)" numFmtId="0">
      <sharedItems count="16">
        <s v="11 Agricultura/viveros"/>
        <s v="23 Construcción y oficios"/>
        <s v="31-33 Manufactura"/>
        <s v="42 Comercio mayorista"/>
        <s v="44-45 Comercio minorista"/>
        <s v="48-49 Transporte y logística"/>
        <s v="51 Información y medios (grabación)"/>
        <s v="52 Finanzas y seguros"/>
        <s v="53 Inmobiliario/admin. propiedades"/>
        <s v="54 Servicios profesionales"/>
        <s v="56 Servicios de apoyo (limpieza, paisajismo, seguridad)"/>
        <s v="61 Educación"/>
        <s v="62 Salud"/>
        <s v="71 Recreación y fitness"/>
        <s v="72 Restaurantes/hotelería"/>
        <s v="81 Servicios (auto, náutico, reparación)"/>
      </sharedItems>
    </cacheField>
    <cacheField name="Forma legal" numFmtId="0">
      <sharedItems count="4">
        <s v="Corp"/>
        <s v="Inc"/>
        <s v="LLC"/>
        <s v="No verificado"/>
      </sharedItems>
    </cacheField>
    <cacheField name="Estado web" numFmtId="0">
      <sharedItems count="5">
        <s v="No verificado"/>
        <s v="Presencia desordenada"/>
        <s v="Sin sitio web"/>
        <s v="Sitio obsoleto"/>
        <s v="Tiene web (auditar)"/>
      </sharedItems>
    </cacheField>
    <cacheField name="Redes sociales" numFmtId="0">
      <sharedItems count="15">
        <s v="Facebook"/>
        <s v="Facebook; Instagram"/>
        <s v="Facebook; Instagram; LinkedIn; Yelp"/>
        <s v="Facebook; Instagram; Yelp"/>
        <s v="Facebook; LinkedIn"/>
        <s v="Facebook; LinkedIn; Yelp"/>
        <s v="Facebook; Yelp"/>
        <s v="Instagram"/>
        <s v="Instagram; LinkedIn; Yelp"/>
        <s v="Instagram; Yelp"/>
        <s v="LinkedIn"/>
        <s v="LinkedIn; Yelp"/>
        <s v="Nextdoor"/>
        <s v="Ninguna encontrada"/>
        <s v="Yelp"/>
      </sharedItems>
    </cacheField>
    <cacheField name="Tiene redes" numFmtId="0">
      <sharedItems count="2">
        <s v="No"/>
        <s v="Sí"/>
      </sharedItems>
    </cacheField>
    <cacheField name="Evidencia" numFmtId="0">
      <sharedItems count="259">
        <s v="~15 empleados (Manta); en operación desde 1990"/>
        <s v="~17 años (desde ~2008)"/>
        <s v="~18 años en el negocio (desde ~2008); 50+ reseñas; solo directorios"/>
        <s v="~20 años en Broward (desde ~2005); dos dominios"/>
        <s v="14+ años; fichas duplicadas, sin dominio propio claro"/>
        <s v="20+ años; solo Yelp"/>
        <s v="22 años en el negocio; dos nombres distintos en la misma dirección"/>
        <s v="23 reseñas en Yelp"/>
        <s v="24/7; solo directorios y sitio espejo"/>
        <s v="3.5 estrellas / 13 reseñas"/>
        <s v="30 años en Miami (desde ~1995); 52 reseñas"/>
        <s v="30 fotos en Yelp; sin dominio visible"/>
        <s v="31 años en operación (BBB); una sede; sin dominio propio"/>
        <s v="35 años en el negocio (desde ~1990); dos dominios y nombres variados"/>
        <s v="38 años enseñando en el sur de Florida (desde ~1988); dos dominios y dos páginas de Facebook"/>
        <s v="42 años; sitio básico + página Genially: candidato a rediseño"/>
        <s v="51 reseñas; usa dos nombres"/>
        <s v="55 reseñas; páginas .html estáticas, algunas por http"/>
        <s v="80-200 invitados; en descuentos de la Ciudad de Doral"/>
        <s v="Abierto desde 1962; varios dominios sin oficial claro; 3,939 reseñas"/>
        <s v="Abrió en 2006; varios dominios y subdominio de directorio"/>
        <s v="Almacén refrigerado y flota propia"/>
        <s v="Años en el mismo lugar; solo directorios"/>
        <s v="BBB A+, ~22 años; registro estatal muestra CANCEL ADM DISS/REV: verificar en Sunbiz | Forma legal fuente: Inc (posible Admin. Dissolved)"/>
        <s v="BBB A+, desde 1993; solo directorios"/>
        <s v="BBB, desde 1999; búsqueda por nombre solo devuelve BBB"/>
        <s v="BBB: desde 1987"/>
        <s v="Boat lifts en Palm Beach, Broward y Miami-Dade"/>
        <s v="Cadena local desde 1982"/>
        <s v="Categoría Freight Forwarding Manta Hialeah"/>
        <s v="Categoría Wholesale Nurseries Manta"/>
        <s v="Clientela de décadas según reseñas; solo directorios"/>
        <s v="Club registrado en BoxRec; solo directorios"/>
        <s v="Constituida en 2010; BBB A+; solo directorios"/>
        <s v="Dentista con 40 años de experiencia; solo directorios | Forma legal fuente: PA"/>
        <s v="Desde 1948, empacadora propia"/>
        <s v="Desde 1966; 1,168 reseñas"/>
        <s v="Desde 1969; web WordPress con título por defecto"/>
        <s v="Desde 1970"/>
        <s v="Desde 1972"/>
        <s v="Desde 1972; web .html estática antigua; otro nombre en Yelp"/>
        <s v="Desde 1973 (W Hotel, Fontainebleau); dos dominios, uno en http"/>
        <s v="Desde 1976"/>
        <s v="Desde 1976; licencia CIE #1116"/>
        <s v="Desde 1978, exporta Caribe/LatAm"/>
        <s v="Desde 1983; CMS antiguo (.aspx)"/>
        <s v="Desde 1983; varios nombres de marca"/>
        <s v="Desde 1984; 228 reseñas"/>
        <s v="Desde 1987, 84+ reseñas"/>
        <s v="Desde 1987; almacén de 22,000 ft²; páginas 'copy-of' sin editar"/>
        <s v="Desde 1987; varias tiendas y tienda online"/>
        <s v="Desde 1988; BBB 2014"/>
        <s v="Desde 1989; varias sedes"/>
        <s v="Desde 1993; dos dominios activos"/>
        <s v="Desde 1993; web solo por http con título antiguo; 448 reseñas"/>
        <s v="Desde 1997 (BBB A+); sin dominio propio"/>
        <s v="Desde 1997 (D&amp;B); sin dominio propio"/>
        <s v="Desde 1997, 3 tiendas, planta USDA"/>
        <s v="Desde 2001; Best Tattoo Shop 2016 (Miami New Times)"/>
        <s v="Desde 2004; contratista federal (CAGE 5PCA5); sin dominio propio"/>
        <s v="Desde 2008, I-Car Gold; dos dominios distintos"/>
        <s v="Desde 2008; solo directorios y Facebook"/>
        <s v="Desde 2009 (BBB)"/>
        <s v="Desde 2009; sitio .us básico y Facebook duplicado"/>
        <s v="Desde 2011, 3 empleados, BBB A+; dos direcciones"/>
        <s v="Desde 2011; dos páginas de Facebook"/>
        <s v="Desde 2014; ficha Yelp no reclamada | Forma legal fuente: LLC (BBB)"/>
        <s v="Dominio propio"/>
        <s v="Dominio propio pero 4 teléfonos distintos en directorios"/>
        <s v="Dos cuentas de Instagram y dos direcciones distintas"/>
        <s v="En Coral Springs desde 1986"/>
        <s v="En el centro de Hollywood desde 1958"/>
        <s v="En Miami desde 1981; tres fichas en Yelp con nombres distintos"/>
        <s v="En Miami desde los años 60 (~1965); equipo de costureras; nombre de tienda distinto al dominio"/>
        <s v="En su local desde 1983; solo subdominio gratuito de directorio"/>
        <s v="Entrenador con 38 años de experiencia; solo directorios"/>
        <s v="Est. 1970; licencia OTI revocada 2003: verificar Sunbiz | Forma legal fuente: Inc (posible inactiva)"/>
        <s v="Est. 1976, ~6 empleados, ~$1.3M ventas (Manta); búsqueda por nombre solo devuelve Facebook/Yelp | Forma legal fuente: Inc (Manta; no verificado en Sunbiz)"/>
        <s v="Est. 1981, ~11 empleados, ~$2.4M | Forma legal fuente: LLC (según YP)"/>
        <s v="Est. 1986, 55 camiones (FMCSA); web http sin HTTPS, páginas .html estáticas"/>
        <s v="Est. 1989, ~17 empleados, ~$2.7M"/>
        <s v="Est. 1992; solo BBB, D&amp;B, Manta, Yelp, Procore"/>
        <s v="Est. 1996, 24h; contacto con Gmail (señal de baja madurez digital)"/>
        <s v="Est. 1996, gran prefabricadora"/>
        <s v="Est. 1996; 244 reseñas Yelp"/>
        <s v="Est. 1997, 180+ acres"/>
        <s v="Est. 1999, ~50 empleados, ~$9.4M"/>
        <s v="Est. 2001, ~100 empleados, 625 proyectos; título web 'HOME | My Site' (plantilla sin personalizar)"/>
        <s v="Est. 2001, familiar; solo Yelp"/>
        <s v="Est. 2004"/>
        <s v="Est. 2006, ~3 empleados; contratista certificado DBPR"/>
        <s v="Est. 2006, 66 camiones; dominio no coincide con la marca"/>
        <s v="Est. 2007, 10-19 empleados; solo directorios y Facebook"/>
        <s v="Est. 2010; IG 172 seguidores"/>
        <s v="Establecida en 1975; plantilla .php de red florista"/>
        <s v="Establecida en 1985; 1-4 empleados (Buzzfile); fichas duplicadas en Manta"/>
        <s v="Establecida en 1989; licencia CIE, acreditada COE"/>
        <s v="Establecida en 1990; mismo teléfono bajo tres nombres"/>
        <s v="Establecida en 1990; sin web propia"/>
        <s v="Establecida en 1992"/>
        <s v="Establecida en 2000; teléfonos distintos por directorio"/>
        <s v="Establecida en 2011 (Yelp)"/>
        <s v="Establecido en 2003; solo Facebook y subdominios automáticos"/>
        <s v="Establecido en 2007 (Yelp)"/>
        <s v="Establecido en 2015; dos dominios y correo gmail"/>
        <s v="Expediente BBB desde 2011; solo directorios"/>
        <s v="Familia Coro desde 1974 en Calle Ocho"/>
        <s v="Familiar ~9 años; 1,430 reseñas en Birdeye; teléfonos distintos por directorio"/>
        <s v="Familiar desde 1953; web propia pero dos fichas en Yelp y otro nombre en la misma dirección"/>
        <s v="Familiar desde 1970"/>
        <s v="Familiar desde 1972; 3 locales en Calle 8; otro nombre en Yelp; sin dominio"/>
        <s v="Familiar desde 1972; fichas duplicadas con nombres variados"/>
        <s v="Familiar desde 1981"/>
        <s v="Familiar desde 1983; varias tiendas; dos fichas en Yelp"/>
        <s v="Familiar desde 1986, segunda generación"/>
        <s v="Familiar desde 1990"/>
        <s v="Familiar desde 1992"/>
        <s v="Familiar desde 2000; fichas duplicadas (una cerrada en 33013)"/>
        <s v="Familiar desde 2000; teléfonos distintos entre web y directorios"/>
        <s v="Familiar desde 2002; dominio .shop y varios sitios espejo"/>
        <s v="Familiar desde 2003, varias tiendas (también Sunrise)"/>
        <s v="Familiar desde 2004; solo Facebook y directorios"/>
        <s v="Familiar desde 2012; 64 reseñas; dos fichas en Yelp y 'web' en subdominio de directorio"/>
        <s v="Familiar, 2 sedes; dos dominios activos en paralelo"/>
        <s v="Familiar, 203 reseñas en Yelp"/>
        <s v="Familiar, 40 años (desde ~1985); dos marcas, dos dominios y fichas duplicadas"/>
        <s v="Familiar, desde los años 80 (~1990)"/>
        <s v="Familiar, más de 25 años (desde ~2000); showroom con 300+ prendas"/>
        <s v="Familiar, más de 25 años en el mismo local (desde ~2000)"/>
        <s v="Familiar, más de 45 años (desde ~1980); tienda física"/>
        <s v="Familiar; 119 reseñas en Birdeye; solo redes"/>
        <s v="Familiar; 39 reseñas; solo Facebook y directorios"/>
        <s v="Ficha de Yelp con 52 fotos"/>
        <s v="Fundada 1990; sin Facebook propio"/>
        <s v="Fundada 1992; 38 reseñas"/>
        <s v="Fundada 1994; dominio sin confirmar"/>
        <s v="Fundada 2003"/>
        <s v="Fundada 2006; solo Manta y D&amp;B"/>
        <s v="Fundada en 1928; en Las Olas desde 1961"/>
        <s v="Fundada en 1945, tercera generación; 1-10 empleados"/>
        <s v="Fundada en 1956, familiar, 4 generaciones en el centro histórico"/>
        <s v="Fundada en 1963"/>
        <s v="Fundada en 1973, familiar; técnicos ASE; solo Facebook y directorios"/>
        <s v="Fundada en 1977; web bajo otra marca y otra empresa en la misma dirección"/>
        <s v="Fundada en 1978 (Yellow Pages)"/>
        <s v="Fundada en 1979, familiar"/>
        <s v="Fundada en 1980"/>
        <s v="Fundada en 1982; se mudó de Coral Gables a Doral en 2023; dos dominios"/>
        <s v="Fundada en 1982; solo directorios; duplicada en Yelp"/>
        <s v="Fundada en 1985 (LinkedIn), 4 sedes; sin dominio; dos teléfonos"/>
        <s v="Fundada en 1985, ~13 empleados"/>
        <s v="Fundada en 1985; 11-50 empleados"/>
        <s v="Fundada en 1985; dos dominios"/>
        <s v="Fundada en 1988; varios listados en la misma dirección; dominio sin confirmar"/>
        <s v="Fundada en 1989; ~35 empleados (estimado)"/>
        <s v="Fundada en 1993; 81 reseñas; web en subdominio de plantilla"/>
        <s v="Fundada en 1994, ~5 empleados; dos dominios, uno en Drupal viejo sin https"/>
        <s v="Fundada en 1995, ~3 empleados; sin web; dos páginas de Facebook y dirección variable | Forma legal fuente: PA"/>
        <s v="Fundada en 1995, familiar"/>
        <s v="Fundada en 1996; tres fichas en Yelp con direcciones distintas"/>
        <s v="Fundada en 1997, ~6 empleados; tres direcciones distintas entre fuentes"/>
        <s v="Fundada en 2000 (Sunbiz P00000055053); sin dominio propio"/>
        <s v="Fundada en 2004; solo redes y directorios"/>
        <s v="Fundada en 2007"/>
        <s v="Fundada en 2007, ~3 empleados; ficha sin reclamar"/>
        <s v="Fundada en 2007; 74 reseñas; clientes B2B (True Religion, John Varvatos)"/>
        <s v="Fundada en 2008; solo directorios, listada en tres ciudades"/>
        <s v="Fundada en 2009, ~4 empleados; ficha sin reclamar y dirección inconsistente"/>
        <s v="Fundada en 2009; web solo por http"/>
        <s v="Fundada en 2010, ~5 empleados; web HTML estática (index_sp.html)"/>
        <s v="Fundada en 2011, 20-49 empleados (Manta); sin dominio"/>
        <s v="Fundada en 2011; solo Facebook y directorios"/>
        <s v="Fundada en 2012, ~5 empleados (Manta); web a nombre del médico y nombres alternos"/>
        <s v="Fundada en 2012; dominio + sitio paralelo"/>
        <s v="Fundada en 2012; sin dominio; duplicada en Yelp y dirección alterna"/>
        <s v="Fundada en 2012; solo redes y Yelp"/>
        <s v="Fundada en 2013 (Sunbiz P13000058228); web propia + reservas en Square"/>
        <s v="Fundada en 2014; BBB A+ desde 2017; solo directorios"/>
        <s v="Fundada en 2015; tres dominios distintos"/>
        <s v="Fundado en 1925; en Coral Gables desde 1953"/>
        <s v="Fundado en 1958; 7 estudios 24 h"/>
        <s v="Fundado en 1964; vende a todo el país"/>
        <s v="Fundado en 1970; último original de 'Little San Juan'"/>
        <s v="Fundado en 1986; dos dominios"/>
        <s v="Fundado en 1992; dos fichas en Yelp y dominio nuevo por cambio de marca"/>
        <s v="Fundado en 1993; segunda marca en la misma dirección"/>
        <s v="Fundado en 1996"/>
        <s v="Fundado en 2002; dominio citado sin confirmar"/>
        <s v="Fundado en 2003; web en http:// con texto 'Our 20th Year' desactualizado"/>
        <s v="Fundado en 2006"/>
        <s v="Inc. 1998, almacén 200,000 ft²"/>
        <s v="Incorporada 2012; dos dominios distintos"/>
        <s v="Institución de North Beach desde 1970; dominio + página 'oficial' en directorio"/>
        <s v="Licencia desde 2009 (C11MD1765), 60 niños; solo Facebook y directorios con direcciones duplicadas"/>
        <s v="Listado Manta"/>
        <s v="Local independiente con premios internacionales"/>
        <s v="Manta: ~$2.5M ventas, ~6 empleados"/>
        <s v="Manta: ~$500k, ~7 empleados"/>
        <s v="Manta: 30+ años"/>
        <s v="Manta: est. 1990, ~11 empleados, ~$750k"/>
        <s v="Manta: est. 1993"/>
        <s v="Manta: est. 2001, ~5 empleados"/>
        <s v="Manta: est. 2008"/>
        <s v="Manta: est. 2015, ~2 empleados"/>
        <s v="Manta: est. 2015, ~7 empleados"/>
        <s v="Manta: fundada 1987, ~25 empleados; sin web ni Facebook"/>
        <s v="Manta: fundada en 1994; dos dominios y dos direcciones en Yelp"/>
        <s v="Manta: fundada en 2003, ~4 empleados; plantilla .php antigua sin https"/>
        <s v="Manta: fundada en 2005, ~3 empleados; web solo por http"/>
        <s v="Manta: fundada en 2008; solo directorios"/>
        <s v="Manta: fundado en 1998, 1-4 empleados; dos direcciones en Doral y teléfono de Orlando"/>
        <s v="Manta: repiping, gas"/>
        <s v="Más de 10 años operando (Miami New Times); solo directorios"/>
        <s v="Más de 23 años (fundada ~2002); Yelp muestra la misma dirección como 'Twins Animal Hospital'"/>
        <s v="Más de 25 años en Pembroke Pines (desde ~2000); 66 reseñas"/>
        <s v="Más de 30 años (desde ~1995)"/>
        <s v="Más de 30 años (desde ~1995); Google Sites + dominio con otra dirección"/>
        <s v="Más de 30 años (desde ~1995); solo subdominio de directorio"/>
        <s v="Más de 40 años de experiencia; dos webs a la vez (Google Sites y dominio) y listados con nombres distintos"/>
        <s v="Más de 62 años (desde ~1964); Best Botanica Miami New Times 2012"/>
        <s v="Mayorista desde 1985; 11-50 empleados (ZoomInfo)"/>
        <s v="Misma familia desde 1995"/>
        <s v="Mismo local desde 1999; familiar"/>
        <s v="Motel de la zona histórica de moteles"/>
        <s v="Motel familiar en el Broadwalk; varios sitios espejo de reservas"/>
        <s v="Mural de estadio conocido en el barrio; sin dominio propio"/>
        <s v="Nació como venta de griot en Little Haiti; solo directorios"/>
        <s v="Opera desde 1979 (Manta: 1997), ~3 empleados; sin dominio propio"/>
        <s v="Operando desde 1994; licencia FDACS MV20456"/>
        <s v="Registrada ~2017 en Sunbiz; solo Booksy y directorios"/>
        <s v="Registrada en 2006; solo Yelp y directorios"/>
        <s v="Registrada en 2011; solo directorios | Forma legal fuente: LLC (Sunbiz L11000090484)"/>
        <s v="Sin dominio propio; dos entidades con nombres parecidos y direcciones distintas"/>
        <s v="Solo Bizapedia"/>
        <s v="Solo directorio WebMD"/>
        <s v="Solo directorios y delivery"/>
        <s v="Solo Facebook"/>
        <s v="Solo Facebook y directorios; posible razón social ED AR USA LLC"/>
        <s v="Solo Facebook y sitios de menús de terceros; 272 reseñas"/>
        <s v="Solo listado BBB"/>
        <s v="Solo Manta"/>
        <s v="Solo Manta; 10+ años"/>
        <s v="Solo redes y directorios; sin dominio propio"/>
        <s v="Solo subdominio gratuito de directorio"/>
        <s v="Solo subdominio gratuito de GoDaddy, sin dominio propio"/>
        <s v="Solo Yahoo Local"/>
        <s v="Solo YellowPages, Superpages, Manta, Waze"/>
        <s v="Solo Yelp"/>
        <s v="Solo Yelp y directorios; sin dominio propio"/>
        <s v="Solo Yelp y Nextdoor"/>
        <s v="Solo Yelp; sin dominio propio"/>
        <s v="Sunbiz: registrada 05/17/1989, Active | Forma legal fuente: Corp (Sunbiz: Florida Profit Corp)"/>
        <s v="Título web con errata 'Welcom to AA Florida Pallets'"/>
        <s v="Tres dominios; línea propia de uniformes de chef"/>
        <s v="Un directorio le atribuye un dominio sin confirmar"/>
        <s v="URL /index.html: sitio estático antiguo (no confirmado)"/>
        <s v="Varios dominios a la vez (propio, blog wordpress.com, ficha de directorio)"/>
        <s v="Web en /index.html (estructura estática antigua, no confirmado); fichas duplicadas en directorios"/>
        <s v="Yelp activo 2026; dos páginas de Facebook distintas y fichas de terceros"/>
      </sharedItems>
    </cacheField>
    <cacheField name="Fuente" numFmtId="0">
      <sharedItems count="281">
        <s v="http://www.truckbrokeragebynational.com/"/>
        <s v="http://www.wisechoicetutoring.com/"/>
        <s v="https://boatplanet.com/pro/shirts-r-us-of-hollywood-inc"/>
        <s v="https://buildingrenewable.com/12-best-precast-concrete-construction-companies-in-florida/"/>
        <s v="https://calleochonews.com/homerun-barbershop-in-little-havana-is-a-grand-slam/"/>
        <s v="https://caplinnews.fiu.edu/guitar-shops-the-guitar-nook-waynes-guitar-world-kendall-conservatory-of-music/"/>
        <s v="https://carrollsjewelers.com/pages/our-history"/>
        <s v="https://chantillyjewels.com/about-us/"/>
        <s v="https://childcarecenter.us/provider_detail/nanas_child_care_inc_hialeah_fl"/>
        <s v="https://dixiepawnfl.com/about/"/>
        <s v="https://doctor.webmd.com/practice/kendall-medical-center-inc-773643c8-4703-e211-a42b-001f29e3eb44-physicians/alpha/all"/>
        <s v="https://doctor.webmd.com/practice/kendall-south-medical-center-inc-422a0a48-1a37-46b1-973c-95ba062d11e3"/>
        <s v="https://ediblesouthflorida.ediblecommunities.com/eat/fresh-demand-local-produce-longtime-homestead-farm/"/>
        <s v="https://en.wikipedia.org/wiki/Criteria_Studios"/>
        <s v="https://excellentfruitandproduce.com/about-us/"/>
        <s v="https://eyeglassemporiummiami.com/"/>
        <s v="https://flamingofishing.com/"/>
        <s v="https://gablesbridaldoral.com/about"/>
        <s v="https://hadleydavisfuneralhome.com/about-us/"/>
        <s v="https://hooraysfromhollywood.com/pages/about-us"/>
        <s v="https://humbertosshoerepair.com/"/>
        <s v="https://islandhousesouthbeach.com/"/>
        <s v="https://jeanerationboutique.com/"/>
        <s v="https://labellebeauty.net/contact-us/la-belle-school-hialeah"/>
        <s v="https://labelleperfumes.com/"/>
        <s v="https://lawyers.findlaw.com/profile/view/5159008_1"/>
        <s v="https://lesteticasalon.com/contact-us/"/>
        <s v="https://local.yahoo.com/info-211983306-marante-distributors-corp-hialeah/"/>
        <s v="https://m.m.yelp.com/biz/team-perfume-center-miami-2"/>
        <s v="https://murnorstudio.com/about-us/"/>
        <s v="https://ochoplacastattoo.com/"/>
        <s v="https://reviews.birdeye.com/tires-world-corp-156071049544232"/>
        <s v="https://search.sunbiz.org/Inquiry/CorporationSearch/ByName"/>
        <s v="https://seyboldjewelry.com/bos-jewelers-inc/"/>
        <s v="https://seyboldjewelry.com/nemaro-jewelers-inc/"/>
        <s v="https://shoegallerymiami.com/pages/store-information"/>
        <s v="https://soloprinting.com/who-are-we/"/>
        <s v="https://www.42ndstreetstudios.com/"/>
        <s v="https://www.allsteelproducts.com/index.html"/>
        <s v="https://www.alluniformwear.com/doral"/>
        <s v="https://www.bbb.org/us/fl/coral-gables/profile/travel-agency/oasis-travel-and-tours-inc-0633-92004092"/>
        <s v="https://www.bbb.org/us/fl/davie/profile/major-appliance-services/first-class-air-conditioning-appliance-inc-0633-90137525"/>
        <s v="https://www.bbb.org/us/fl/fort-lauderdale/profile/boat-repair/ship-side-service-0633-22003092"/>
        <s v="https://www.bbb.org/us/fl/fort-lauderdale/profile/boat-repair/top-quality-yachts-refinishing-refurbishing-0633-4006026"/>
        <s v="https://www.bbb.org/us/fl/ft-lauderdale/profile/boat-repair/superior-stainless-yacht-repair-0633-11011513"/>
        <s v="https://www.bbb.org/us/fl/hialeah/profile/auto-body-repair-and-painting/procollision-center-llc-0633-90024812"/>
        <s v="https://www.bbb.org/us/fl/hialeah/profile/impact-windows/all-star-aluminum-windows-doors-inc-0633-90034252"/>
        <s v="https://www.bbb.org/us/fl/hialeah/profile/insurance-agency/continental-insurance-office-0633-92071289"/>
        <s v="https://www.bbb.org/us/fl/hialeah/profile/insurance-agency/opportunity-insurance-inc-0633-90612037"/>
        <s v="https://www.bbb.org/us/fl/hollywood/profile/clothing-alterations/lois-alteration-shop-0633-90072554"/>
        <s v="https://www.bbb.org/us/fl/homestead/profile/auto-repair/krome-auto-tire-svc-0633-90269976"/>
        <s v="https://www.bbb.org/us/fl/homestead/profile/landscape-contractors/rock-rose-lawn-care-llc-0633-92053672"/>
        <s v="https://www.bbb.org/us/fl/homestead/profile/landscape-maintenance/mcintyre-maintenance-inc-0633-90425590"/>
        <s v="https://www.bbb.org/us/fl/homestead/profile/lawn-maintenance/a-w-complete-lawn-care-inc-0633-7003076"/>
        <s v="https://www.bbb.org/us/fl/homestead/profile/paving-contractors/florida-paving-trucking-inc-0633-5003759"/>
        <s v="https://www.bbb.org/us/fl/miami-beach/profile/insurance-services-office/allstar-insurance-services-inc-0633-27003053"/>
        <s v="https://www.bbb.org/us/fl/miami-gardens/profile/auto-repair/als-auto-service-inc-0633-90086392"/>
        <s v="https://www.bbb.org/us/fl/miami/profile/driving-lessons/metro-traffic-school-0633-20002069"/>
        <s v="https://www.bbb.org/us/fl/miami/profile/heating-and-air-conditioning/kendale-air-conditioning-0633-23009691"/>
        <s v="https://www.bbb.org/us/fl/miami/profile/organic-food/brothers-produce-inc-0633-90067698"/>
        <s v="https://www.bbb.org/us/fl/miami/profile/pest-control/florida-pest-specialists-inc-0633-90332736"/>
        <s v="https://www.bbb.org/us/fl/miami/profile/pest-control/floridian-pest-control-0633-90036096"/>
        <s v="https://www.bbb.org/us/fl/miramar/profile/burglar-alarm-systems/safeguard-security-international-inc-0633-92016539/"/>
        <s v="https://www.bbb.org/us/fl/pompano-beach/profile/auto-repair/fast-lane-auto-repairs-0633-90409985"/>
        <s v="https://www.bbb.org/us/fl/pompano-beach/profile/auto-repair/original-look-0633-90132733"/>
        <s v="https://www.bbb.org/us/fl/pompano-beach/profile/auto-repair/pompano-beach-texaco-0633-35000319"/>
        <s v="https://www.bbb.org/us/fl/pompano-beach/profile/auto-repair/the-auto-spot-0633-90092971"/>
        <s v="https://www.bbb.org/us/fl/pompano-beach/profile/mobile-auto-repair/our-shop-auto-repairs-inc-0633-90426905"/>
        <s v="https://www.birchpatio.com/contact-us"/>
        <s v="https://www.bizapedia.com/fl/barahonas-food-distributor-llc.html"/>
        <s v="https://www.bizapedia.com/fl/loman-distributors-inc.html"/>
        <s v="https://www.buildzoom.com/contractor/professional-plumbing-corp"/>
        <s v="https://www.buzzfile.com/business/A-1-Mirta-Driving-School-305-836-6681"/>
        <s v="https://www.carriersource.io/carriers/high-quality-trucking-inc"/>
        <s v="https://www.cityofdoral.com/Businesses/Local-Discounts/Diamond-Venue-at-Doral"/>
        <s v="https://www.classicpawn.com/about-us"/>
        <s v="https://www.constructgroupcorp.com/"/>
        <s v="https://www.coralgablesflorist.com/contact-us/"/>
        <s v="https://www.dandb.com/businessdirectory/pinesalterations-pembrokepines-fl-28488386.html"/>
        <s v="https://www.darbysflorist.com/about_us.php"/>
        <s v="https://www.dnb.com/business-directory/company-profiles.medley_machine_shop_inc.b0232bd608d5d99948dd3a3504105627.html"/>
        <s v="https://www.elegantparties.com/copy-of-about"/>
        <s v="https://www.facebook.com/amigopallets/"/>
        <s v="https://www.facebook.com/doralfamilydentalfl/"/>
        <s v="https://www.facebook.com/hialeahbakery/"/>
        <s v="https://www.facebook.com/kkdentaldoral/"/>
        <s v="https://www.facebook.com/reydelasfritas/"/>
        <s v="https://www.facebook.com/rplantsinc/"/>
        <s v="https://www.fiestapartyrentalmiami.com/"/>
        <s v="https://www.firstsign.com/pg/7-About-Us.aspx"/>
        <s v="https://www.frameartofmiami.com/"/>
        <s v="https://www.frommers.com/destinations/miami/shopping/la-casa-de-las-guayaberas/"/>
        <s v="https://www.jaesjewelers.com/"/>
        <s v="https://www.joansflorist.net/about-us"/>
        <s v="https://www.lonelyplanet.com/usa/florida/miami/little-havana/shopping/havana-collection/a/poi-sho/1348918/1341620"/>
        <s v="https://www.manta.com/c/m1xl2v5/s-a-marine-services-llc"/>
        <s v="https://www.manta.com/c/mb04c42/just-plumbing"/>
        <s v="https://www.manta.com/c/mb5d3rb/land-sea-air-conditioning-of"/>
        <s v="https://www.manta.com/c/mb5r01b/aventura-dental-arts"/>
        <s v="https://www.manta.com/c/mbg66v7/tmc-import-export-co"/>
        <s v="https://www.manta.com/c/mbybsr5/ymp-real-estate-management-llc"/>
        <s v="https://www.manta.com/c/mh1g76d/marina-road-boat-yard"/>
        <s v="https://www.manta.com/c/mhbyhd2/zaidspiner-income-tax-service"/>
        <s v="https://www.manta.com/c/mhcrbf8/super-diesel-truck-repair-inc"/>
        <s v="https://www.manta.com/c/mhh0xzb/targa-insurance-inc"/>
        <s v="https://www.manta.com/c/mhkhbr0/lindsay-taylor-property-management-inc"/>
        <s v="https://www.manta.com/c/mhks6tw/conavenca-freight-forwarder-llc"/>
        <s v="https://www.manta.com/c/mhw02tp/cv-ac-expert-llc"/>
        <s v="https://www.manta.com/c/mhwzp1k/felix-varela-medical-clinic-inc"/>
        <s v="https://www.manta.com/c/mhx9tn8/aa-florida-pallets-inc"/>
        <s v="https://www.manta.com/c/mk2fx4l/a-d-animal-hospital-inc"/>
        <s v="https://www.manta.com/c/mkhwx2k/elite-yachting-solutions-llc"/>
        <s v="https://www.manta.com/c/mkxpthn/kryterion-property-services-llc"/>
        <s v="https://www.manta.com/c/mm08mz3/markon-realty-and-management-inc"/>
        <s v="https://www.manta.com/c/mm0fbmw/miami-beach-chiropractic-rehabilitation-center-pa"/>
        <s v="https://www.manta.com/c/mm0jvj4/yachting-bliss"/>
        <s v="https://www.manta.com/c/mm21vw1/international-cruise-food-hotel-suppliers-inc"/>
        <s v="https://www.manta.com/c/mm2vydb/marante-forwarding-co-inc"/>
        <s v="https://www.manta.com/c/mm33hkb/doral-freight-logistics-inc"/>
        <s v="https://www.manta.com/c/mm43fmb/sari-express-forwarders-inc"/>
        <s v="https://www.manta.com/c/mm4dqwp/gondia-machine-shop"/>
        <s v="https://www.manta.com/c/mm4mtnd/a-g-insurance"/>
        <s v="https://www.manta.com/c/mm5yfxm/jose-m-del-valle-dds-pa"/>
        <s v="https://www.manta.com/c/mm7f0xx/all-power-marine-boat-lifts-docks"/>
        <s v="https://www.manta.com/c/mm890c8/excellent-pharmacy-discount"/>
        <s v="https://www.manta.com/c/mm8c01j/ramallo-insurance-inc"/>
        <s v="https://www.manta.com/c/mmb664t/mortgage-funding-group-inc"/>
        <s v="https://www.manta.com/c/mmcwr0p/steel-works-rebar-fabricators-llc"/>
        <s v="https://www.manta.com/c/mmdzv4c/martin-accounting-tax-service"/>
        <s v="https://www.manta.com/c/mmf1sbc/manny-s-plumbing-service"/>
        <s v="https://www.manta.com/c/mmfvqs5/promptus-llc"/>
        <s v="https://www.manta.com/c/mmfws9t/rivas-immigration-law"/>
        <s v="https://www.manta.com/c/mmgmgjl/senaduana-freight-forwarders-inc"/>
        <s v="https://www.manta.com/c/mmld75y/tax-recovery-services"/>
        <s v="https://www.manta.com/c/mmn1h0x/jonel-knitting-mills-inc"/>
        <s v="https://www.manta.com/c/mmn3jvb/complete-yacht-care-inc"/>
        <s v="https://www.manta.com/c/mmnct5k/frases-frases-insurance-agency"/>
        <s v="https://www.manta.com/c/mmnsjmj/forbes-architects"/>
        <s v="https://www.manta.com/c/mmnycd5/orthopedic-rehabilitation-specialists-inc"/>
        <s v="https://www.manta.com/c/mmpy8rx/envios-22-24"/>
        <s v="https://www.manta.com/c/mmym5vw/million-air-conditioning-corporation"/>
        <s v="https://www.manta.com/c/mr0113x/continental-trust-mortgage"/>
        <s v="https://www.manta.com/c/mr07gcv/als-medical-group"/>
        <s v="https://www.manta.com/c/mr0zgqq/felix-pardo-architect-inc"/>
        <s v="https://www.manta.com/c/mr4tgvc/t-d-air-conditioning-inc"/>
        <s v="https://www.manta.com/c/mt4210t/j-j-freight-brokerage-inc"/>
        <s v="https://www.manta.com/c/mt4fd3r/malu-plumbing-inc"/>
        <s v="https://www.manta.com/c/mtbtgz9/rocco-plumbing-inc"/>
        <s v="https://www.manta.com/c/mtm56cl/farley-veterinary-clinic"/>
        <s v="https://www.manta.com/c/mtq3wsd/ocean-freight-link"/>
        <s v="https://www.manta.com/c/mtqlxt4/panther-co-inc"/>
        <s v="https://www.manta.com/c/mtr6dz3/rubio-pharmacy-and-discount-inc"/>
        <s v="https://www.manta.com/c/mtrvtd1/florida-insurance-plus"/>
        <s v="https://www.manta.com/c/mtry58n/r-k-a-xpress-inc"/>
        <s v="https://www.manta.com/c/mttcj9f/tropical-pharmacy-inc"/>
        <s v="https://www.manta.com/c/mttg4zn/plumbing-experts"/>
        <s v="https://www.manta.com/c/mtv988s/montero-dental-center"/>
        <s v="https://www.manta.com/c/mvvd9cj/liner-growers-nursery"/>
        <s v="https://www.manta.com/c/mw2lslb/three-js-management-corporation"/>
        <s v="https://www.manta.com/c/mx0vyzw/new-england-plumbing"/>
        <s v="https://www.manta.com/d/mm2thx3/lasseter-plumbing-company-inc"/>
        <s v="https://www.manta.com/mb_55_B52DB05K_33S/freight_forwarding/hialeah_fl"/>
        <s v="https://www.manta.com/mb_55_B80C105M_345/nursery_stock/homestead_fl"/>
        <s v="https://www.miaminewtimes.com/location/botanica-nena-6420256/"/>
        <s v="https://www.miaminewtimes.com/location/chez-madame-johns-restaurant-6411679"/>
        <s v="https://www.neighborhoods.com/blog/cuban-restaurants-in-little-havana-you-cant-miss"/>
        <s v="https://www.pinaboutique.com/about.html"/>
        <s v="https://www.southdadenewsleader.com/archives/home-hardware---a-fixture-in-homestead/article_efebc0c6-d95b-578d-a0e1-b6799b5b9805.html"/>
        <s v="https://www.southfloridasigncompany.com/about/"/>
        <s v="https://www.southfloridasuntimes.com/news/ferrara-auto-spa,-ferrara-automotive:-serving-the-broward-community-for-20-years"/>
        <s v="https://www.sportanddanceacademy.com/contact"/>
        <s v="https://www.stefanostattoofl.com/"/>
        <s v="https://www.superpages.com/bp/weston-fl/isabel-boutique-L2189573306.htm"/>
        <s v="https://www.tattoosbylou.com/post/2015/05/01/shop-history-tattoos-by-lou-south-beach"/>
        <s v="https://www.totaltravelmarine.com/about/"/>
        <s v="https://www.tripadvisor.com/Hotel_Review-g34296-d12460813-Reviews-Golden_Sand_Motel-Hollywood_Broward_County_Florida.html"/>
        <s v="https://www.uscoinshows.com/dealers/fl/we-buy-gold-nmb"/>
        <s v="https://www.weddingwire.com/biz/big-beat-productions-coral-springs/c9f1ea40b232cad6.html"/>
        <s v="https://www.yellowpages.com/coral-springs-fl/upholsterers"/>
        <s v="https://www.yellowpages.com/doral-fl/mip/cleaners-at-doral-13465665"/>
        <s v="https://www.yellowpages.com/hialeah-fl/mip/2000-cafe-inc-462536135"/>
        <s v="https://www.yellowpages.com/medley-fl/medley-steel-and-supply-inc"/>
        <s v="https://www.yellowpages.com/medley-fl/mip/all-welding-and-machine-shop-inc-474064250"/>
        <s v="https://www.yellowpages.com/miami-fl/mip/magnolia-fashion-wholesale-545604198"/>
        <s v="https://www.yellowpages.com/plantation-fl/mip/plantation-chiropractic-center-inc-467764478"/>
        <s v="https://www.yelp.com/biz/24-hour-traffic-and-driving-school-hialeah"/>
        <s v="https://www.yelp.com/biz/4-u-unlimited-miami"/>
        <s v="https://www.yelp.com/biz/a-labor-of-love-dog-grooming-salon-miami-3"/>
        <s v="https://www.yelp.com/biz/alberts-fine-jewelers-miami"/>
        <s v="https://www.yelp.com/biz/alexandrias-grooming-fort-lauderdale"/>
        <s v="https://www.yelp.com/biz/ballroom-events-banquet-hall-miami-gardens"/>
        <s v="https://www.yelp.com/biz/beauty-schools-of-america-hialeah"/>
        <s v="https://www.yelp.com/biz/bellis-perfumes-miami-5"/>
        <s v="https://www.yelp.com/biz/best-dry-cleaners-and-shoe-repair-miami-beach"/>
        <s v="https://www.yelp.com/biz/bikini-brasil-miami-beach"/>
        <s v="https://www.yelp.com/biz/botanica-ache-iboru-hialeah"/>
        <s v="https://www.yelp.com/biz/botanica-ibu-kole5-hialeah"/>
        <s v="https://www.yelp.com/biz/botanica-inshe-hialeah"/>
        <s v="https://www.yelp.com/biz/botanica-olocun-hialeah"/>
        <s v="https://www.yelp.com/biz/botanica-teniola-hialeah-2"/>
        <s v="https://www.yelp.com/biz/carolinas-design-and-alterations-coral-gables"/>
        <s v="https://www.yelp.com/biz/chocolada-bakery-and-cafe-hollywood"/>
        <s v="https://www.yelp.com/biz/chungs-kung-fu-and-tai-chi-academy-fort-lauderdale"/>
        <s v="https://www.yelp.com/biz/complete-yacht-service-fort-lauderdale"/>
        <s v="https://www.yelp.com/biz/cyma-truck-repair-medley"/>
        <s v="https://www.yelp.com/biz/deborah-james-fort-lauderdale"/>
        <s v="https://www.yelp.com/biz/delio-photo-studio-miami-2"/>
        <s v="https://www.yelp.com/biz/diane-oceanfront-suites-hollywood"/>
        <s v="https://www.yelp.com/biz/doral-bakery-and-cafeteria-doral"/>
        <s v="https://www.yelp.com/biz/e-and-p-printing-miami"/>
        <s v="https://www.yelp.com/biz/eduardos-jewelry-and-watch-repair-shop-coral-gables"/>
        <s v="https://www.yelp.com/biz/egg-and-you-diner-fort-lauderdale"/>
        <s v="https://www.yelp.com/biz/el-bajareque-restaurant-miami"/>
        <s v="https://www.yelp.com/biz/el-diamante-jewelry-and-pawn-miami"/>
        <s v="https://www.yelp.com/biz/el-yoyito-restaurant-y-cafeteria-hialeah"/>
        <s v="https://www.yelp.com/biz/elios-locksmith-miami-2"/>
        <s v="https://www.yelp.com/biz/entonces-watch-and-jewelry-repair-aventura-2"/>
        <s v="https://www.yelp.com/biz/exotic-eyewear-optical-fort-lauderdale"/>
        <s v="https://www.yelp.com/biz/giralda-cleaners-coral-gables-4"/>
        <s v="https://www.yelp.com/biz/gladys-tires-hialeah-2"/>
        <s v="https://www.yelp.com/biz/home-optical-miami-beach"/>
        <s v="https://www.yelp.com/biz/idolls-boutique-miami-gardens"/>
        <s v="https://www.yelp.com/biz/ive-been-framed-miami-4"/>
        <s v="https://www.yelp.com/biz/joes-barber-shop-hialeah"/>
        <s v="https://www.yelp.com/biz/kangaroo-boxing-gym-hialeah-gardens"/>
        <s v="https://www.yelp.com/biz/kendall-jewelry-miami"/>
        <s v="https://www.yelp.com/biz/kendalls-bakery-restaurant-miami"/>
        <s v="https://www.yelp.com/biz/khai-les-alterations-miami-beach"/>
        <s v="https://www.yelp.com/biz/kings-pawn-fort-lauderdale"/>
        <s v="https://www.yelp.com/biz/l-auberge-haitian-restaurant-north-miami"/>
        <s v="https://www.yelp.com/biz/larosa-diesel-mechanical-medley"/>
        <s v="https://www.yelp.com/biz/latin-cafe-2000-hialeah"/>
        <s v="https://www.yelp.com/biz/lelook-optical-north-miami"/>
        <s v="https://www.yelp.com/biz/lendoiro-jewelry-and-pawn-shop-miami"/>
        <s v="https://www.yelp.com/biz/los-tres-conejitos-bakery-hialeah"/>
        <s v="https://www.yelp.com/biz/magic-tailoring-coral-gables"/>
        <s v="https://www.yelp.com/biz/magique-hair-salon-aventura"/>
        <s v="https://www.yelp.com/biz/marcellas-fashion-weston"/>
        <s v="https://www.yelp.com/biz/marks-quality-cleaners-miami-beach-2"/>
        <s v="https://www.yelp.com/biz/martinez-distributors-miami-2"/>
        <s v="https://www.yelp.com/biz/medina-and-son-plumbing-supply-hialeah"/>
        <s v="https://www.yelp.com/biz/mi-casa-furniture-hialeah-2"/>
        <s v="https://www.yelp.com/biz/miami-income-tax-miami"/>
        <s v="https://www.yelp.com/biz/minebender-jewelers-hollywood"/>
        <s v="https://www.yelp.com/biz/miros-watch-repair-miami"/>
        <s v="https://www.yelp.com/biz/morningstars-jewelers-and-pawnbrokers-hollywood"/>
        <s v="https://www.yelp.com/biz/music-arts-enterprises-fort-lauderdale-3"/>
        <s v="https://www.yelp.com/biz/music-legacies-pembroke-pines"/>
        <s v="https://www.yelp.com/biz/music-tech-studios-pembroke-pines"/>
        <s v="https://www.yelp.com/biz/neighbors-moving-and-storage-pompano-beach-3"/>
        <s v="https://www.yelp.com/biz/normans-tavern-miami-beach-4"/>
        <s v="https://www.yelp.com/biz/olem-shoe-corp-miami-2"/>
        <s v="https://www.yelp.com/biz/optica-lopez-miami"/>
        <s v="https://www.yelp.com/biz/pablos-machine-shop-and-welding-corp-medley"/>
        <s v="https://www.yelp.com/biz/parko-jewelry-and-pawn-miami"/>
        <s v="https://www.yelp.com/biz/professional-tailoring-coral-springs"/>
        <s v="https://www.yelp.com/biz/puerto-sagua-restaurant-miami-beach"/>
        <s v="https://www.yelp.com/biz/rana-furniture-hialeah-3"/>
        <s v="https://www.yelp.com/biz/rbtt-boxing-gym-hialeah"/>
        <s v="https://www.yelp.com/biz/richards-gems-and-jewelry-miami"/>
        <s v="https://www.yelp.com/biz/s-a-watch-repair-miami"/>
        <s v="https://www.yelp.com/biz/santos-barber-shop-hollywood"/>
        <s v="https://www.yelp.com/biz/sartori-amici-coral-gables-3"/>
        <s v="https://www.yelp.com/biz/shoreline-marine-pompano-beach"/>
        <s v="https://www.yelp.com/biz/sudsies-dry-cleaners-miami-beach"/>
        <s v="https://www.yelp.com/biz/tailor-republic-miami-beach-2"/>
        <s v="https://www.yelp.com/biz/tango-body-shop-hialeah"/>
        <s v="https://www.yelp.com/biz/tarks-of-dania-beach-dania-beach"/>
        <s v="https://www.yelp.com/biz/the-endowment-banquet-hall-miami-gardens"/>
        <s v="https://www.yelp.com/biz/the-hit-music-studio-pembroke-pines-pembroke-pines"/>
        <s v="https://www.yelp.com/biz/the-magic-dance-academy-hialeah"/>
        <s v="https://www.yelp.com/biz/the-original-cuban-barbershop-miami-3"/>
        <s v="https://www.yelp.com/biz/the-perfect-fit-miami-beach-2"/>
        <s v="https://www.yelp.com/biz/the-tattoo-gallery-fort-lauderdale"/>
        <s v="https://www.yelp.com/biz/the-temple-house-miami-beach"/>
        <s v="https://www.yelp.com/biz/tire-factory-outlet-hialeah"/>
        <s v="https://www.yelp.com/biz/warehouse-uniform-and-embroidery-doral"/>
        <s v="https://www.yelp.com/biz/watch-repair-miami-3"/>
        <s v="https://www.yelp.com/biz/wynwood-car-wash-miami"/>
        <s v="https://www.yelp.com/biz/wynwood-studio-miami"/>
        <s v="https://www.yelp.com/biz/yacht-mechanics-of-florida-fort-lauderdale"/>
      </sharedItems>
    </cacheField>
    <cacheField name="Empleados (est.)" numFmtId="0">
      <sharedItems containsString="0" containsBlank="1" containsNumber="1" containsInteger="1" minValue="1" maxValue="100" count="20">
        <n v="1"/>
        <n v="2"/>
        <n v="3"/>
        <n v="4"/>
        <n v="5"/>
        <n v="6"/>
        <n v="7"/>
        <n v="10"/>
        <n v="11"/>
        <n v="13"/>
        <n v="15"/>
        <n v="17"/>
        <n v="20"/>
        <n v="25"/>
        <n v="35"/>
        <n v="50"/>
        <n v="55"/>
        <n v="66"/>
        <n v="100"/>
        <m/>
      </sharedItems>
    </cacheField>
    <cacheField name="Año fundación" numFmtId="0">
      <sharedItems containsString="0" containsBlank="1" containsNumber="1" containsInteger="1" minValue="1925" maxValue="2015" count="57">
        <n v="1925"/>
        <n v="1928"/>
        <n v="1945"/>
        <n v="1948"/>
        <n v="1953"/>
        <n v="1956"/>
        <n v="1958"/>
        <n v="1962"/>
        <n v="1963"/>
        <n v="1964"/>
        <n v="1966"/>
        <n v="1969"/>
        <n v="1970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m/>
      </sharedItems>
    </cacheField>
    <cacheField name="Peso web" numFmtId="0">
      <sharedItems containsSemiMixedTypes="0" containsString="0" containsNumber="1" containsInteger="1" minValue="1" maxValue="3" count="3">
        <n v="1"/>
        <n v="2"/>
        <n v="3"/>
      </sharedItems>
    </cacheField>
    <cacheField name="Peso sector" numFmtId="0">
      <sharedItems containsSemiMixedTypes="0" containsString="0" containsNumber="1" containsInteger="1" minValue="1" maxValue="3" count="3">
        <n v="1"/>
        <n v="2"/>
        <n v="3"/>
      </sharedItems>
    </cacheField>
    <cacheField name="Señal tamaño" numFmtId="0">
      <sharedItems containsSemiMixedTypes="0" containsString="0" containsNumber="1" containsInteger="1" minValue="0" maxValue="1" count="2">
        <n v="0"/>
        <n v="1"/>
      </sharedItems>
    </cacheField>
    <cacheField name="Puntaje" numFmtId="0">
      <sharedItems containsSemiMixedTypes="0" containsString="0" containsNumber="1" containsInteger="1" minValue="2" maxValue="7" count="6">
        <n v="2"/>
        <n v="3"/>
        <n v="4"/>
        <n v="5"/>
        <n v="6"/>
        <n v="7"/>
      </sharedItems>
    </cacheField>
    <cacheField name="Prioridad" numFmtId="0">
      <sharedItems count="4">
        <s v="A"/>
        <s v="B"/>
        <s v="C"/>
        <s v="Descartada"/>
      </sharedItems>
    </cacheField>
    <cacheField name="Estado Sunbiz" numFmtId="0">
      <sharedItems count="4">
        <s v="Active"/>
        <s v="Duplicado"/>
        <s v="Inactive"/>
        <s v="Pendiente"/>
      </sharedItems>
    </cacheField>
    <cacheField name="Próximo paso" numFmtId="0">
      <sharedItems containsBlank="1" count="2">
        <s v="Verificar Sunbiz (posible inactiva)"/>
        <m/>
      </sharedItems>
    </cacheField>
    <cacheField name="Dirección" numFmtId="0">
      <sharedItems containsBlank="1" count="264">
        <s v="10007 NW 87th Ave, Medley, FL 33178"/>
        <s v="10055 Biscayne Blvd, Miami Shores, FL 33138"/>
        <s v="101 N Riverside Dr Suite 116, Pompano Beach, FL 33062"/>
        <s v="10171 NW 58th St, Unit 12, Doral, FL 33178"/>
        <s v="1022 E 27th St, Hialeah, FL 33013"/>
        <s v="10473 NW 41st St, Doral, FL 33178"/>
        <s v="10481 N Kendall Dr, Ste D200, Miami, FL 33176"/>
        <s v="1060 NE 79th St, Miami, FL 33138"/>
        <s v="10670 NW 19th St, Doral, FL 33172"/>
        <s v="10780 W Flagler St, Miami, FL 33174"/>
        <s v="10864 SW 104th St, Miami, FL 33176"/>
        <s v="10925 NW South River Dr, Medley, FL 33178"/>
        <s v="11110 W Oakland Park Blvd PMB 407, Sunrise, FL 33351"/>
        <s v="11120 SW 88th St Ste 100, Miami, FL 33176"/>
        <s v="11345 W Flagler St, Miami, FL 33174"/>
        <s v="114 Madeira Ave, Coral Gables, FL 33134"/>
        <s v="11405 NW 112th Ct, Medley, FL 33178"/>
        <s v="11450 NW 34th St, Suite 100, Doral, FL 33178"/>
        <s v="11758 SW 88th St, Miami, FL 33186"/>
        <s v="1192 W 49th St, Hialeah, FL"/>
        <s v="11921 SW 130th St, Ste 403, Miami, FL 33186"/>
        <s v="1195 W 29th St, Hialeah, FL 33012"/>
        <s v="12060 NW South River Dr, Medley, FL 33178"/>
        <s v="12074 Miramar Pkwy, Miramar, FL 33025"/>
        <s v="12121 NW 98th Ave, Hialeah Gardens, FL 33018"/>
        <s v="1225 NW 2nd St, Homestead, FL 33030"/>
        <s v="1225 Washington Ave, Miami Beach, FL 33139"/>
        <s v="123 Giralda Ave, Coral Gables, FL 33134"/>
        <s v="12370 NW 106th Ct, Medley, FL 33178"/>
        <s v="1263 E Las Olas Blvd, Fort Lauderdale, FL 33301"/>
        <s v="12850 W State Rd 84 #2-7, Davie, FL 33325"/>
        <s v="1300 N Broadwalk, Hollywood, FL 33019"/>
        <s v="1301 S Dixie Hwy E #C, Pompano Beach, FL 33060"/>
        <s v="1301 W 80th St, Hialeah, FL 33014"/>
        <s v="13117 NW 107th Ave, Hialeah Gardens, FL 33018"/>
        <s v="1317 S Federal Hwy, Dania Beach, FL 33004"/>
        <s v="13301 SW 132nd Ave Ste 212, Miami, FL 33186"/>
        <s v="13315 W Dixie Hwy, North Miami, FL"/>
        <s v="1340 SW 8th St, Miami, FL 33135"/>
        <s v="13595 SW 137th Ave, Miami, FL 33186"/>
        <s v="13744 Biscayne Blvd, North Miami Beach, FL 33181"/>
        <s v="13762 State Rd 84 #245, Davie, FL 33325"/>
        <s v="14081 Langley Pl, Davie, FL 33325"/>
        <s v="1415 Euclid Ave, Miami Beach, FL 33139"/>
        <s v="1420 W 49th St, Hialeah, FL 33012"/>
        <s v="1421 SW 8th St, Miami, FL 33135"/>
        <s v="1428 Collins Ave, Miami Beach, FL"/>
        <s v="14400 SW 248th St, Homestead, FL 33032"/>
        <s v="145 Madeira Ave, Suite 202, Coral Gables, FL 33134"/>
        <s v="1460 W 49th St, Hialeah, FL 33012"/>
        <s v="14706 SW 56th St, Ste 23, Miami, FL 33185"/>
        <s v="14740 SW 26th St Ste 107, Miami, FL 33185"/>
        <s v="1495 W 49th St, Hialeah, FL 33012"/>
        <s v="1510 SW 8th St, Miami, FL"/>
        <s v="1513 SW 18th Ave, Fort Lauderdale, FL 33312"/>
        <s v="1515 N University Dr, Suite 106, Coral Springs, FL 33071"/>
        <s v="1544 Alton Rd, Miami Beach, FL 33139"/>
        <s v="1550 W 29th St #1, Hialeah, FL 33012"/>
        <s v="1560 Sawgrass Corporate Pkwy 4th Floor, Sunrise, FL 33323"/>
        <s v="15963 Pines Blvd, Pembroke Pines, FL 33027"/>
        <s v="1612 SW 8th St, Miami, FL 33135"/>
        <s v="1631 W 38th Pl, #1502A, Hialeah, FL 33012"/>
        <s v="16455 SW 264th St, Homestead, FL 33031"/>
        <s v="16505 NW 27th Ave, Miami Gardens, FL 33054"/>
        <s v="1680 SW 2nd Ave, Pompano Beach, FL 33060"/>
        <s v="1701 W Flagler St, Miami, FL 33135"/>
        <s v="1729 Main St, Weston, FL 33326"/>
        <s v="1735 NW 7th St, Miami, FL"/>
        <s v="1745 Alton Rd, Miami Beach, FL 33139"/>
        <s v="17501 NW 27th Ave, Miami Gardens, FL 33056"/>
        <s v="1754 NE 163rd St, North Miami Beach, FL 33162"/>
        <s v="1755 NE 149th St, Miami, FL 33181"/>
        <s v="1755 W 39th Pl, Hialeah, FL 33012"/>
        <s v="1756 W 41st St, Ste C &amp; D, Hialeah, FL 33012"/>
        <s v="17681 NW 54th Ave, Miami Gardens, FL 33055"/>
        <s v="1780 NW 15th Ave, Ste 435, Pompano Beach, FL 33069"/>
        <s v="1780 NW 15th Ave, Suite 435, Pompano Beach, FL 33069"/>
        <s v="17845 NW 27th Ave, Suite E, Miami Gardens, FL 33056"/>
        <s v="18121 Biscayne Blvd, Aventura, FL"/>
        <s v="1821 SW 8th St, Miami, FL 33135"/>
        <s v="1825 Ponce de Leon Blvd, Coral Gables, FL 33134"/>
        <s v="18251 Pines Blvd, Pembroke Pines, FL 33029"/>
        <s v="18455 SW 284th St, Homestead, FL 33030"/>
        <s v="18600 NW 87th Ave #109, Hialeah, FL 33015"/>
        <s v="1870 W 60th St #A, Hialeah, FL 33012"/>
        <s v="18851 NE 29th Ave Ste 301, Aventura, FL 33180"/>
        <s v="1912 W 60th St, Hialeah, FL 33012"/>
        <s v="1919 NW 21st St, Bldg B, Pompano Beach, FL 33069"/>
        <s v="1923 Hollywood Blvd, Hollywood, FL 33020"/>
        <s v="19495 Biscayne Blvd Suite 101, Aventura, FL 33180"/>
        <s v="1960 SW 27th Ave, Miami, FL 33145"/>
        <s v="200 SW 33rd St, Fort Lauderdale, FL 33315"/>
        <s v="2000 Hollywood Blvd, Hollywood, FL 33020"/>
        <s v="2000 Sheridan St Ste 2, Hollywood, FL 33020"/>
        <s v="2003 NW 79th Ave, Doral, FL 33122"/>
        <s v="2005 W 62nd St, Hialeah, FL"/>
        <s v="2032 E Oakland Park Blvd, Fort Lauderdale, FL 33306"/>
        <s v="20445 Biscayne Blvd, H-3, Aventura, FL 33180"/>
        <s v="207 NW 7th Ave, Fort Lauderdale, FL 33311"/>
        <s v="2085 N Powerline Rd, Suite 1, Pompano Beach, FL 33069"/>
        <s v="2101 NE 164th St, North Miami Beach, FL 33162"/>
        <s v="212 SW 30th St, Fort Lauderdale, FL 33315"/>
        <s v="2133 NW 22nd St, Pompano Beach, FL 33069"/>
        <s v="2140 NW 23rd St, Miami, FL 33142"/>
        <s v="220 S State Rd 7, Hollywood, FL 33023"/>
        <s v="2245 NW 20th St, Miami, FL 33142"/>
        <s v="225 Miracle Mile, Coral Gables, FL 33134"/>
        <s v="226 S Krome Ave, Homestead, FL 33030"/>
        <s v="2300 W Flagler St, Miami, FL 33135"/>
        <s v="2316 N Dixie Hwy, Hollywood, FL 33020"/>
        <s v="2319 NW 20th St, Miami, FL 33142"/>
        <s v="2332 Galiano St Ste 124, Coral Gables, FL 33134"/>
        <s v="237 Miracle Mile, Coral Gables, FL 33134"/>
        <s v="2399 Coral Way, Miami, FL 33145"/>
        <s v="2455 Hollywood Blvd, Hollywood, FL 33020"/>
        <s v="2470 NW 102nd Pl, Unit 201, Doral, FL"/>
        <s v="2501 N Federal Hwy, Fort Lauderdale, FL 33305"/>
        <s v="255 University Dr, Coral Gables, FL 33134"/>
        <s v="2556 SW 8th St, Miami, FL 33135"/>
        <s v="2600 NW 87th Ave, Ste 29, Doral, FL 33172"/>
        <s v="2601 NW 5th Ave, Miami, FL 33127"/>
        <s v="2614 SW 8th St, Miami, FL 33135"/>
        <s v="2621 N Federal Hwy, Fort Lauderdale, FL 33306"/>
        <s v="264 Andalusia Ave, Coral Gables, FL 33134"/>
        <s v="26401 SW 107th Ave, Homestead, FL 33032"/>
        <s v="2689 W 76th St, Unit 18, Hialeah, FL 33016"/>
        <s v="2720 W Broward Blvd, Fort Lauderdale, FL"/>
        <s v="2737 NW 79th Ave, Doral, FL"/>
        <s v="2740 NW 112th Ave, Doral, FL 33172"/>
        <s v="275 W 75th Pl, Hialeah, FL 33014"/>
        <s v="278 NW 36th St, Miami, FL 33127"/>
        <s v="27805 SW 197th Ave, Homestead, FL 33031"/>
        <s v="2798 E Atlantic Blvd, Pompano Beach, FL 33062"/>
        <s v="280 W 29th St, Hialeah, FL 33012"/>
        <s v="2875 NE 2nd Ave, Miami, FL 33137"/>
        <s v="2961 W 12th Ave, Hialeah, FL 33012"/>
        <s v="3000 W State Road 84, Fort Lauderdale, FL 33312"/>
        <s v="302 S Federal Hwy, Pompano Beach, FL 33062"/>
        <s v="30451 SW 217th Ave, Homestead, FL 33030"/>
        <s v="3145 NE 9th St, Fort Lauderdale, FL 33304"/>
        <s v="323 S 21st Ave Ste C, Hollywood, FL 33020"/>
        <s v="3251 Hollywood Blvd, Suite 450, Hollywood, FL 33021"/>
        <s v="33 E Flagler St, Miami, FL 33131"/>
        <s v="330 N Krome Ave, Homestead, FL 33030"/>
        <s v="3301 Davie Blvd, Fort Lauderdale, FL 33312"/>
        <s v="3335 W 4th Ave, Hialeah, FL 33012"/>
        <s v="3350 SW 148th Ave Suite 110, Miramar, FL 33027"/>
        <s v="3408 Spring St #1, Pompano Beach, FL 33062"/>
        <s v="3521 E 4th Ave, Hialeah, FL 33013"/>
        <s v="36 NE 1st St, Miami, FL 33132"/>
        <s v="36 NE 1st St, Suite 108, Miami, FL 33132"/>
        <s v="36 NE 1st St, Suite 135, Miami, FL 33132"/>
        <s v="36 NE 1st St, Suite 415, Miami, FL 33132"/>
        <s v="36 NE 1st St, Suite 646, Miami, FL 33132"/>
        <s v="3600 NW 41st St, Miami, FL 33142"/>
        <s v="3601 SW 160th Ave Ste 120, Miramar, FL 33027"/>
        <s v="3735 SW 8th St, Coral Gables, FL 33134"/>
        <s v="3750 W 16th Ave Ste 222, Hialeah, FL 33012"/>
        <s v="3758 W 12th Ave, Hialeah, FL 33012"/>
        <s v="3918 W 12th Ave, Hialeah, FL 33012"/>
        <s v="3950 Executive Way, Miramar, FL 33025"/>
        <s v="4000 Palm Ave, Hialeah, FL 33012"/>
        <s v="406 14th St, Miami Beach, FL 33139"/>
        <s v="407 NE 8th St, Fort Lauderdale, FL 33304"/>
        <s v="4121 SW 47th Ave Ste 1329, Davie, FL 33314"/>
        <s v="415 S Fort Lauderdale Beach Blvd, Unit A, Fort Lauderdale, FL 33316"/>
        <s v="4182 W 6th Ave, Hialeah, FL 33012"/>
        <s v="4360 NW 192nd St, Miami Gardens, FL 33055"/>
        <s v="4450 SW 61st Ave Ste 6, Davie, FL 33314"/>
        <s v="4501 Palm Ave, Ste 202, Hialeah, FL 33012"/>
        <s v="4531 Weston Rd, Weston, FL 33331"/>
        <s v="456 NE 167th St, Miami, FL 33162"/>
        <s v="4565 Ponce De Leon Blvd, Coral Gables, FL 33146"/>
        <s v="460 W 83rd St, Hialeah, FL 33014"/>
        <s v="4671 N University Dr, Coral Springs, FL 33067"/>
        <s v="470 W 29th St, Hialeah, FL 33012"/>
        <s v="4703 SW 8th St, Miami, FL 33134"/>
        <s v="4712 S Le Jeune Rd, Coral Gables, FL 33146"/>
        <s v="474 E 49th St, Hialeah, FL 33013"/>
        <s v="4747 NW 79th Ave, Fl 2, Doral, FL 33166"/>
        <s v="479 S Flagler Ave #62-63, Pompano Beach, FL 33060"/>
        <s v="4858 NW 167th St, Miami Gardens, FL 33014"/>
        <s v="486 NE 125th St, North Miami, FL 33161"/>
        <s v="4861 N Dixie Hwy Ste 201B, Fort Lauderdale, FL 33334"/>
        <s v="4888 NW 183rd St, Suite 215, Miami Gardens, FL 33055"/>
        <s v="490 W 18th St, Hialeah, FL 33010"/>
        <s v="495 E 49th St, Hialeah, FL 33013"/>
        <s v="500 W 49th St Ste C, Hialeah, FL 33012"/>
        <s v="5072 Coconut Creek Pkwy, Margate, FL 33063"/>
        <s v="5416 Palm Ave, Hialeah, FL 33012"/>
        <s v="548 NE 42nd St, Fort Lauderdale, FL 33334"/>
        <s v="552 Arthur Godfrey Rd, Miami Beach, FL 33140"/>
        <s v="567 NW 27th St, Miami, FL 33127"/>
        <s v="568 Hialeah Dr, Hialeah, FL 33010"/>
        <s v="5840 SW 8th St, West Miami, FL 33144"/>
        <s v="5844 W 20th Ave, Hialeah, FL 33016"/>
        <s v="5900 W 16th Ave, Hialeah, FL 33012"/>
        <s v="5920 Johnson St, Suite 107, Hollywood, FL 33021"/>
        <s v="609 N 21st Ave, Hollywood, FL 33020"/>
        <s v="6120 NW 32nd Ter, Fort Lauderdale, FL 33309"/>
        <s v="617 N Birch Rd, Fort Lauderdale, FL 33304"/>
        <s v="623 E Las Olas Blvd, Fort Lauderdale, FL 33301"/>
        <s v="6289 W Sunrise Blvd Ste 118, Plantation, FL 33313"/>
        <s v="6300 NW 97th Ave, Doral, FL 33178"/>
        <s v="6487 Taft St, Hollywood, FL 33024"/>
        <s v="6531 Sunset Strip Ste 4, Sunrise, FL 33313"/>
        <s v="6770 Collins Ave, Miami Beach, FL 33141"/>
        <s v="6786 Collins Ave, Miami Beach, FL 33141"/>
        <s v="6941 SW 196th Ave, Suite 12, Pembroke Pines, FL 33029"/>
        <s v="6985 W 12th Ave, Hialeah, FL 33014"/>
        <s v="6989 Collins Ave, Miami Beach, FL 33141"/>
        <s v="700 Collins Ave, Miami Beach, FL 33139"/>
        <s v="7151 W Flagler St, Miami, FL 33144"/>
        <s v="7153 SW 117th Ave, Miami, FL 33183"/>
        <s v="7161 SW 117th Ave, Miami, FL 33183"/>
        <s v="7221 NW 78th Ter, Medley, FL 33166"/>
        <s v="7265 NW 74th St, Medley, FL 33166"/>
        <s v="73 E Flagler St, Miami, FL 33131"/>
        <s v="733 SW 8th St, Miami, FL 33130"/>
        <s v="7379 NW 31st St, Miami, FL 33122"/>
        <s v="740 71st St, Miami Beach, FL 33141"/>
        <s v="7420 NW 5th St Ste 107, Plantation, FL 33317"/>
        <s v="75 W 4th St, Hialeah, FL 33010"/>
        <s v="757 SE 17th St #319, Fort Lauderdale, FL 33316"/>
        <s v="7600 W 20th Ave Ste 223, Hialeah, FL 33016"/>
        <s v="7611 NW 74th Ave, Medley, FL 33166"/>
        <s v="7637 Pines Blvd, Pembroke Pines, FL 33024"/>
        <s v="7650 NW 69th Ave, Medley, FL 33166"/>
        <s v="7660 NW 69th Ave, Medley, FL 33166"/>
        <s v="7678 NW 186th St, Hialeah, FL 33015"/>
        <s v="7778 NW 46th St, Doral, FL 33166"/>
        <s v="7800 NW 25th St, Ste 11, Doral, FL 33122"/>
        <s v="7860 NW 66th St, Miami, FL 33166"/>
        <s v="7884 NW 64th St, Miami, FL 33166"/>
        <s v="7975 W 28th Ave, Hialeah, FL 33016"/>
        <s v="7987 W 28th Ave, Hialeah, FL 33016"/>
        <s v="800 NW 21st St, Miami, FL 33127"/>
        <s v="801 S Dixie Hwy E Ste 5, Pompano Beach, FL 33060"/>
        <s v="8010 N University Dr, Floor 2, Tamarac, FL 33321"/>
        <s v="8025 NW 36th St Ste 302, Doral, FL"/>
        <s v="8180 NW 36th St #300, Doral, FL 33166"/>
        <s v="8321 NW 90th St, Medley, FL 33166"/>
        <s v="8345 Bird Rd, Miami, FL 33155"/>
        <s v="8550 NW 33rd St, Doral, FL 33122"/>
        <s v="8551 W Sunrise Blvd Ste 105E, Plantation, FL 33322"/>
        <s v="865 NE 130th St, North Miami, FL 33161"/>
        <s v="8720 N Kendall Dr #206, Miami, FL 33176"/>
        <s v="902 NW 27th Ave, Miami, FL 33125"/>
        <s v="91 W 29th St, Hialeah, FL 33012"/>
        <s v="915 E Las Olas Blvd, Fort Lauderdale, FL 33301"/>
        <s v="927 Lincoln Rd, Miami Beach, FL"/>
        <s v="9350 NW 108th Ave, Suite 100, Medley, FL 33178"/>
        <s v="940 Lincoln Rd #208, Miami Beach, FL 33139"/>
        <s v="9452 NW 109th St, Medley, FL 33178"/>
        <s v="9501 NW 80th Ave, Hialeah, FL 33016"/>
        <s v="9615 W Sample Rd, Coral Springs, FL 33065"/>
        <s v="975 NE 125th St, North Miami, FL 33161"/>
        <s v="9830 NW 114th Way, Medley, FL 33178"/>
        <s v="9861 NW 117th Way, Medley, FL 33178"/>
        <s v="9877 W Sample Rd, Coral Springs, FL 33065"/>
        <s v="9925 NW 116th Way, Medley, FL 33178"/>
        <s v="9961 SW 142nd Ave, Miami, FL 33186"/>
        <s v="Hialeah, FL 33010"/>
        <m/>
      </sharedItems>
    </cacheField>
    <cacheField name="Teléfono" numFmtId="0">
      <sharedItems containsBlank="1" count="262">
        <s v="(305) 200-6048"/>
        <s v="(305) 225-5050"/>
        <s v="(305) 228-0383"/>
        <s v="(305) 232-3000"/>
        <s v="(305) 235-1948"/>
        <s v="(305) 242-0970"/>
        <s v="(305) 245-2930"/>
        <s v="(305) 246-0006"/>
        <s v="(305) 246-3455"/>
        <s v="(305) 247-2008"/>
        <s v="(305) 248-7164"/>
        <s v="(305) 256-2512"/>
        <s v="(305) 257-9883"/>
        <s v="(305) 258-5590"/>
        <s v="(305) 258-8440"/>
        <s v="(305) 263-0922"/>
        <s v="(305) 264-0888"/>
        <s v="(305) 264-7929"/>
        <s v="(305) 266-9683"/>
        <s v="(305) 270-9170"/>
        <s v="(305) 271-7373"/>
        <s v="(305) 274-9207"/>
        <s v="(305) 278-8878"/>
        <s v="(305) 279-0808"/>
        <s v="(305) 285-5188"/>
        <s v="(305) 325-9000"/>
        <s v="(305) 325-9382"/>
        <s v="(305) 358-4399"/>
        <s v="(305) 364-3676"/>
        <s v="(305) 371-2063"/>
        <s v="(305) 371-5086"/>
        <s v="(305) 372-6262"/>
        <s v="(305) 373-5767"/>
        <s v="(305) 374-6950"/>
        <s v="(305) 379-2000"/>
        <s v="(305) 379-3800"/>
        <s v="(305) 383-1700"/>
        <s v="(305) 388-1118"/>
        <s v="(305) 392-6741"/>
        <s v="(305) 392-9900"/>
        <s v="(305) 403-0785"/>
        <s v="(305) 405-3333"/>
        <s v="(305) 438-1773"/>
        <s v="(305) 443-5049"/>
        <s v="(305) 443-7724"/>
        <s v="(305) 444-3143"/>
        <s v="(305) 445-3130"/>
        <s v="(305) 445-3374"/>
        <s v="(305) 445-4555"/>
        <s v="(305) 445-5896"/>
        <s v="(305) 446-0849"/>
        <s v="(305) 446-7779"/>
        <s v="(305) 454-9809"/>
        <s v="(305) 456-2426"/>
        <s v="(305) 471-0993"/>
        <s v="(305) 477-1022"/>
        <s v="(305) 485-9555"/>
        <s v="(305) 494-2064"/>
        <s v="(305) 512-9320"/>
        <s v="(305) 513-8377"/>
        <s v="(305) 531-9755"/>
        <s v="(305) 534-2288"/>
        <s v="(305) 538-6275"/>
        <s v="(305) 538-9191"/>
        <s v="(305) 541-1658"/>
        <s v="(305) 541-5959"/>
        <s v="(305) 556-0066"/>
        <s v="(305) 556-1770"/>
        <s v="(305) 556-6699"/>
        <s v="(305) 558-0562"/>
        <s v="(305) 558-0612"/>
        <s v="(305) 558-1333"/>
        <s v="(305) 559-5000"/>
        <s v="(305) 559-7707"/>
        <s v="(305) 576-5170"/>
        <s v="(305) 577-4862"/>
        <s v="(305) 592-1409"/>
        <s v="(305) 595-9425"/>
        <s v="(305) 596-1978"/>
        <s v="(305) 599-8412"/>
        <s v="(305) 599-8558"/>
        <s v="(305) 600-8298"/>
        <s v="(305) 625-7041"/>
        <s v="(305) 627-9297"/>
        <s v="(305) 628-7643"/>
        <s v="(305) 630-3600"/>
        <s v="(305) 633-1946"/>
        <s v="(305) 636-0803"/>
        <s v="(305) 637-2767"/>
        <s v="(305) 640-8414"/>
        <s v="(305) 642-4531"/>
        <s v="(305) 643-0227"/>
        <s v="(305) 643-9006"/>
        <s v="(305) 644-6054"/>
        <s v="(305) 646-1543"/>
        <s v="(305) 649-2311"/>
        <s v="(305) 653-2042"/>
        <s v="(305) 663-0272"/>
        <s v="(305) 663-8319"/>
        <s v="(305) 673-1115"/>
        <s v="(305) 673-2526"/>
        <s v="(305) 682-1414"/>
        <s v="(305) 685-8059"/>
        <s v="(305) 687-1405"/>
        <s v="(305) 695-7979"/>
        <s v="(305) 715-9545"/>
        <s v="(305) 763-7494"/>
        <s v="(305) 796-7940"/>
        <s v="(305) 805-0058"/>
        <s v="(305) 805-1522"/>
        <s v="(305) 816-6862"/>
        <s v="(305) 817-9339"/>
        <s v="(305) 820-1919"/>
        <s v="(305) 821-1455"/>
        <s v="(305) 821-5740"/>
        <s v="(305) 822-8282"/>
        <s v="(305) 823-9206"/>
        <s v="(305) 824-8845"/>
        <s v="(305) 825-3389"/>
        <s v="(305) 825-4333"/>
        <s v="(305) 826-5886"/>
        <s v="(305) 827-2637"/>
        <s v="(305) 827-5453"/>
        <s v="(305) 828-0690"/>
        <s v="(305) 828-7770"/>
        <s v="(305) 833-4292"/>
        <s v="(305) 836-0116"/>
        <s v="(305) 836-6681"/>
        <s v="(305) 850-8864"/>
        <s v="(305) 856-5632"/>
        <s v="(305) 858-1326"/>
        <s v="(305) 861-0018"/>
        <s v="(305) 861-1080"/>
        <s v="(305) 863-7480"/>
        <s v="(305) 863-8500"/>
        <s v="(305) 863-8995"/>
        <s v="(305) 864-3279"/>
        <s v="(305) 865-7777"/>
        <s v="(305) 868-9248"/>
        <s v="(305) 882-0288"/>
        <s v="(305) 882-8282"/>
        <s v="(305) 884-3200"/>
        <s v="(305) 884-3664"/>
        <s v="(305) 887-1611"/>
        <s v="(305) 887-2522"/>
        <s v="(305) 887-7333"/>
        <s v="(305) 888-1717"/>
        <s v="(305) 888-2205"/>
        <s v="(305) 888-2224"/>
        <s v="(305) 888-4831"/>
        <s v="(305) 888-8810"/>
        <s v="(305) 891-0077"/>
        <s v="(305) 892-1065"/>
        <s v="(305) 892-9333"/>
        <s v="(305) 893-7180"/>
        <s v="(305) 894-3223"/>
        <s v="(305) 928-1396"/>
        <s v="(305) 933-0400"/>
        <s v="(305) 935-4247"/>
        <s v="(305) 944-0888"/>
        <s v="(305) 947-1211"/>
        <s v="(305) 947-5611"/>
        <s v="(305) 947-9968"/>
        <s v="(305) 953-0701"/>
        <s v="(305) 964-5073"/>
        <s v="(305) 989-6479"/>
        <s v="(407) 894-4449"/>
        <s v="(754) 224-5777"/>
        <s v="(754) 329-0902"/>
        <s v="(754) 444-9519"/>
        <s v="(786) 332-7065"/>
        <s v="(786) 333-5672"/>
        <s v="(786) 336-8181"/>
        <s v="(786) 346-2176"/>
        <s v="(786) 354-5561"/>
        <s v="(786) 370-1542"/>
        <s v="(786) 371-1786"/>
        <s v="(786) 383-8438"/>
        <s v="(786) 431-5712"/>
        <s v="(786) 437-4700"/>
        <s v="(786) 444-9464"/>
        <s v="(786) 456-5334"/>
        <s v="(786) 548-6190"/>
        <s v="(786) 558-9213"/>
        <s v="(786) 587-9090"/>
        <s v="(786) 624-1868"/>
        <s v="(786) 713-0399"/>
        <s v="(786) 717-7474"/>
        <s v="(786) 877-3829"/>
        <s v="(786) 955-3724"/>
        <s v="(800) 385-6177"/>
        <s v="(866) 600-7720"/>
        <s v="(954) 217-7272"/>
        <s v="(954) 224-9940"/>
        <s v="(954) 227-2800"/>
        <s v="(954) 258-8322"/>
        <s v="(954) 321-1010"/>
        <s v="(954) 321-1383"/>
        <s v="(954) 430-2253"/>
        <s v="(954) 462-6977"/>
        <s v="(954) 462-8123"/>
        <s v="(954) 463-3711"/>
        <s v="(954) 467-7750"/>
        <s v="(954) 472-5645"/>
        <s v="(954) 474-5923"/>
        <s v="(954) 505-9809"/>
        <s v="(954) 507-7364"/>
        <s v="(954) 518-4972"/>
        <s v="(954) 524-2585"/>
        <s v="(954) 525-8752"/>
        <s v="(954) 532-6639"/>
        <s v="(954) 533-5859"/>
        <s v="(954) 564-2045"/>
        <s v="(954) 564-3205"/>
        <s v="(954) 564-4141"/>
        <s v="(954) 567-4488"/>
        <s v="(954) 581-2203"/>
        <s v="(954) 600-6222"/>
        <s v="(954) 621-1398"/>
        <s v="(954) 624-5626"/>
        <s v="(954) 632-1051"/>
        <s v="(954) 639-7344"/>
        <s v="(954) 741-1550"/>
        <s v="(954) 741-9200"/>
        <s v="(954) 746-5770"/>
        <s v="(954) 747-3255"/>
        <s v="(954) 748-6719"/>
        <s v="(954) 753-6768"/>
        <s v="(954) 755-7759"/>
        <s v="(954) 757-2829"/>
        <s v="(954) 767-8833"/>
        <s v="(954) 770-5938"/>
        <s v="(954) 775-2707"/>
        <s v="(954) 782-1044"/>
        <s v="(954) 788-7484"/>
        <s v="(954) 789-0449"/>
        <s v="(954) 791-3700"/>
        <s v="(954) 792-3343"/>
        <s v="(954) 797-5921"/>
        <s v="(954) 830-1608"/>
        <s v="(954) 861-1196"/>
        <s v="(954) 867-6763"/>
        <s v="(954) 915-3030"/>
        <s v="(954) 920-6400"/>
        <s v="(954) 921-1041"/>
        <s v="(954) 921-6200"/>
        <s v="(954) 923-2372"/>
        <s v="(954) 925-8275"/>
        <s v="(954) 927-5265"/>
        <s v="(954) 927-8400"/>
        <s v="(954) 927-9236"/>
        <s v="(954) 941-2600"/>
        <s v="(954) 942-8920"/>
        <s v="(954) 946-3380"/>
        <s v="(954) 956-8227"/>
        <s v="(954) 961-6794"/>
        <s v="(954) 962-0771"/>
        <s v="(954) 964-3844"/>
        <s v="(954) 966-7178"/>
        <s v="(954) 983-4367"/>
        <s v="(954) 989-5382"/>
        <m/>
      </sharedItems>
    </cacheField>
    <cacheField name="Web" numFmtId="0">
      <sharedItems containsBlank="1" count="169">
        <s v="42ndstreetstudios.com"/>
        <s v="aafloridapallets.com"/>
        <s v="adanimalhospital.vet"/>
        <s v="aginsagency.com"/>
        <s v="albertsfinejewelers.com"/>
        <s v="alexandriasgrooming.com"/>
        <s v="allstaraluminum.com"/>
        <s v="allsteelproducts.com"/>
        <s v="alluniformwear.com"/>
        <s v="alsautoserviceinc.com"/>
        <s v="alsmedicalgroup.com"/>
        <s v="amigopallets.com"/>
        <s v="autospotfl.com"/>
        <s v="aventuradentalarts.com"/>
        <s v="ballroomeventsbanquethall.com"/>
        <s v="bellisperfumes.com"/>
        <s v="bfdistributor.com"/>
        <s v="bigbeatproductions.com"/>
        <s v="birchpatio.com"/>
        <s v="bosjewelers.com"/>
        <s v="botanicanena.com"/>
        <s v="brothersproduce.com"/>
        <s v="cameronlawgroup.com"/>
        <s v="carrollsjewelers.com"/>
        <s v="chantillyjewels.com"/>
        <s v="chooseallstar.com"/>
        <s v="chungstaichi.com"/>
        <s v="classicpawn.com"/>
        <s v="conavenca.us"/>
        <s v="constructgroupcorp.com"/>
        <s v="coralgablesflorist.com"/>
        <s v="criteriastudios.com"/>
        <s v="cvacexpert.com"/>
        <s v="darbysflorist.com"/>
        <s v="deborahjames.com"/>
        <s v="diamondvenuedoral.com"/>
        <s v="dianeoceanfrontsuites.com"/>
        <s v="dixiepawnfl.com"/>
        <s v="doralfamilydental.com"/>
        <s v="doralfreight.com"/>
        <s v="drluisfelipefelipe.com"/>
        <s v="eandpgroup.com"/>
        <s v="eduardosjewelry.jewelershowcase.com"/>
        <s v="elbajarequerestaurant.com"/>
        <s v="eldiamantepawn.com"/>
        <s v="elegantparties.com"/>
        <s v="elexquisitolittlehavana.com"/>
        <s v="elioslocksmith.com"/>
        <s v="eliteyachtingsolutions.com"/>
        <s v="elreydelasfritas.com"/>
        <s v="entonceswatchandjewelry.com"/>
        <s v="excellentfruitandproduce.com"/>
        <s v="exoticeyewearoptical.com"/>
        <s v="eyeglassemporiummiami.com"/>
        <s v="famiami.com"/>
        <s v="fastlaneauto1901.wixsite.com/fastlaneautoworks"/>
        <s v="ferraraautospa.com"/>
        <s v="fiestapartyrentalmiami.com"/>
        <s v="firstsign.com"/>
        <s v="flamingofishing.com"/>
        <s v="fpadesign.com"/>
        <s v="frameartofmiami.com"/>
        <s v="gablesbridaldoral.com"/>
        <s v="giraldacleaners.com"/>
        <s v="gladystires.com"/>
        <s v="goldensandoceanfront.godaddysites.com"/>
        <s v="hadleydavisfh.com"/>
        <s v="hollywoodchocolada.com"/>
        <s v="homeoptical.shop"/>
        <s v="hooraysfromhollywood.com"/>
        <s v="hqtrucking.com"/>
        <s v="humbertosshoerepair.com"/>
        <s v="icfh.com"/>
        <s v="islandhousesouthbeach.com"/>
        <s v="ivebeenframedmiami.com"/>
        <s v="jaesjewelers.com"/>
        <s v="jeanerationboutique.com"/>
        <s v="joansflorist.net"/>
        <s v="kendaleair.com"/>
        <s v="kendallconservatory.com"/>
        <s v="kkdentaldoral.com"/>
        <s v="kryterionpropserv.com"/>
        <s v="labellebeauty.net"/>
        <s v="labelleperfumes.com"/>
        <s v="larosadieselmechanical.com"/>
        <s v="lasseterplumbing.com"/>
        <s v="laubergerestaurant.shop"/>
        <s v="lendoirojewelryandpawnshop.localsearch.com"/>
        <s v="lesteticasalon.com"/>
        <s v="linergrowers.com"/>
        <s v="lomandistributors.com"/>
        <s v="los3conejitos.com"/>
        <s v="ltproperties.net"/>
        <s v="maemusic.com"/>
        <s v="magnoliafashionwholesale.com"/>
        <s v="maluplumbing.com"/>
        <s v="manueldiazfarms.com"/>
        <s v="marcellasfashionboutique.com"/>
        <s v="marinaroadboatyard.com"/>
        <s v="marineboatlifts.com"/>
        <s v="marksqualitycleaners.net"/>
        <s v="martinaccounting-tax.com"/>
        <s v="mdist.us"/>
        <s v="medalliontrees.com"/>
        <s v="medleymachine.com"/>
        <s v="medleysteel.com"/>
        <s v="metrotrafficschool.com"/>
        <s v="miami-plumbers.com"/>
        <s v="miamiincometax.com"/>
        <s v="micasamuebles.com"/>
        <s v="minebenderjewelers.com"/>
        <s v="morningstarsjewelers.com"/>
        <s v="mtgfunding.com"/>
        <s v="murnorstudio.com"/>
        <s v="musictechstudios.com"/>
        <s v="nemarojewelers.com"/>
        <s v="normans.biz"/>
        <s v="oceanfreightlink.com"/>
        <s v="ochoplacastattoo.com"/>
        <s v="olemshoe.com"/>
        <s v="opportunity-insurance.com"/>
        <s v="opticallopez.com"/>
        <s v="orsphysicaltherapymiami.com"/>
        <s v="pablosmachineshopmedley.com"/>
        <s v="pantherandco.com"/>
        <s v="parkojewelry.com"/>
        <s v="pinaboutique.com"/>
        <s v="procollisiononline.com"/>
        <s v="promptus.us"/>
        <s v="proplumb.net"/>
        <s v="puertosagua.org"/>
        <s v="ramonpuig.com"/>
        <s v="richardsjewelry.com"/>
        <s v="rivasimmigrationlaw.com"/>
        <s v="rplantsinc.com"/>
        <s v="samarineservices.com"/>
        <s v="sariexpressonline.com"/>
        <s v="sartoriamici.com"/>
        <s v="senaduana.com"/>
        <s v="shoegallerymiami.com"/>
        <s v="soloprinting.com"/>
        <s v="southfloridasigncompany.com"/>
        <s v="spimiami.com"/>
        <s v="sportanddanceacademy.com"/>
        <s v="stefanostattoofl.com"/>
        <s v="sudsies.com"/>
        <s v="superdieseltruckrepair.com"/>
        <s v="tarksofdania.com"/>
        <s v="tattoosbylou.com"/>
        <s v="tax-recovery-services.com"/>
        <s v="tdairconditioning.com"/>
        <s v="teamperfumecenter.localsearch.com"/>
        <s v="theguitarnook.com"/>
        <s v="thetemplehouse.com"/>
        <s v="tireswcorp.com"/>
        <s v="totaltravelmarine.com"/>
        <s v="truckbrokeragebynational.com"/>
        <s v="watch-repair.miamidirect.us"/>
        <s v="watchrepairinmiamifl.com"/>
        <s v="webuygoldnmb.com"/>
        <s v="wisechoicetutoring.com"/>
        <s v="wonderlong.salon"/>
        <s v="wueinc.com"/>
        <s v="wynwood.studio"/>
        <s v="yachtingbliss.com"/>
        <s v="yachtmechanicsofflorida.com"/>
        <s v="ymprealestate.com"/>
        <s v="zaidspinerincometaxservice.com"/>
        <m/>
      </sharedItems>
    </cacheField>
    <cacheField name="Facebook" numFmtId="0">
      <sharedItems containsBlank="1" count="129">
        <s v="http://m.facebook.com/profile.php?id=127183447924452"/>
        <s v="https://www.facebook.com/100070735132722/"/>
        <s v="https://www.facebook.com/142433409128998/"/>
        <s v="https://www.facebook.com/161632290522132/"/>
        <s v="https://www.facebook.com/42ndststudios/"/>
        <s v="https://www.facebook.com/adanimalhospital/"/>
        <s v="https://www.facebook.com/air.repair.miami/"/>
        <s v="https://www.facebook.com/alaboroflovedoggrooming/"/>
        <s v="https://www.facebook.com/AlexandriasGrooming/"/>
        <s v="https://www.facebook.com/ALLSTARALUMINUMWINDOWS/"/>
        <s v="https://www.facebook.com/amigopallets/"/>
        <s v="https://www.facebook.com/aventuradentalarts/"/>
        <s v="https://www.facebook.com/ballroomeventsbanquethall/"/>
        <s v="https://www.facebook.com/bellisperfumes/"/>
        <s v="https://www.facebook.com/bestcleanersshoerepair/"/>
        <s v="https://www.facebook.com/bigbeatproductions/"/>
        <s v="https://www.facebook.com/Bikinibrasil/"/>
        <s v="https://www.facebook.com/botanicanena1/"/>
        <s v="https://www.facebook.com/chooseallstar/"/>
        <s v="https://www.facebook.com/conavenca/"/>
        <s v="https://www.facebook.com/coralgablesbridals/"/>
        <s v="https://www.facebook.com/CymaTruckRepairsCorp/"/>
        <s v="https://www.facebook.com/DarbysFlorist/"/>
        <s v="https://www.facebook.com/DeborahJamesLasOlas/"/>
        <s v="https://www.facebook.com/deliophotostudio/"/>
        <s v="https://www.facebook.com/diamondvenueatdoral/"/>
        <s v="https://www.facebook.com/Dianesuites/"/>
        <s v="https://www.facebook.com/dixiepawnfl/"/>
        <s v="https://www.facebook.com/doralfamilydentalfl/"/>
        <s v="https://www.facebook.com/dragonkungfuflorida"/>
        <s v="https://www.facebook.com/eduardosjewelry/"/>
        <s v="https://www.facebook.com/excellentfruitandproduce/"/>
        <s v="https://www.facebook.com/exquisitomiami/"/>
        <s v="https://www.facebook.com/eyeglassemporium/"/>
        <s v="https://www.facebook.com/eyewearopticalftlauderdale/"/>
        <s v="https://www.facebook.com/FastLaneAutoRepairs/"/>
        <s v="https://www.facebook.com/ferraraautospa/"/>
        <s v="https://www.facebook.com/FirstSignCorp/"/>
        <s v="https://www.facebook.com/frameartofkendall/"/>
        <s v="https://www.facebook.com/gladystires/"/>
        <s v="https://www.facebook.com/HadleyDavisFHMAIN/"/>
        <s v="https://www.facebook.com/hialeahbakery/"/>
        <s v="https://www.facebook.com/hollywoodchocolada/"/>
        <s v="https://www.facebook.com/homeopticaUSA/"/>
        <s v="https://www.facebook.com/jaesjewelers/"/>
        <s v="https://www.facebook.com/jeanerationboutique/"/>
        <s v="https://www.facebook.com/JoansFloristHollywood/"/>
        <s v="https://www.facebook.com/KendallConservatoryofMusic/"/>
        <s v="https://www.facebook.com/KendallSouthMedicalCenter/"/>
        <s v="https://www.facebook.com/kingspawnfortlauderdale/"/>
        <s v="https://www.facebook.com/kkdentaldoral/"/>
        <s v="https://www.facebook.com/LaBellePerfumeDistributors/"/>
        <s v="https://www.facebook.com/LaBelleSchools"/>
        <s v="https://www.facebook.com/landandseaac/"/>
        <s v="https://www.facebook.com/lesteticasalonmia"/>
        <s v="https://www.facebook.com/magiqueaventura/"/>
        <s v="https://www.facebook.com/MagnoliaFashionWholesale/"/>
        <s v="https://www.facebook.com/Marcellasfashion/"/>
        <s v="https://www.facebook.com/MarinaRoadBoatYard/"/>
        <s v="https://www.facebook.com/MarksQualityCleaners/"/>
        <s v="https://www.facebook.com/MartinezDistributors/"/>
        <s v="https://www.facebook.com/Medleysteelsupply/"/>
        <s v="https://www.facebook.com/MetroTrafficSchool/"/>
        <s v="https://www.facebook.com/MiamiBeachChiropractic/"/>
        <s v="https://www.facebook.com/MiamiPlumbers/"/>
        <s v="https://www.facebook.com/MinebenderJewelers/"/>
        <s v="https://www.facebook.com/MorningstarsJewelersPawnbrokers/"/>
        <s v="https://www.facebook.com/murnorstudio/"/>
        <s v="https://www.facebook.com/MusicArtsEnterprises/"/>
        <s v="https://www.facebook.com/MusicLegacies/"/>
        <s v="https://www.facebook.com/MusicTechStudios/"/>
        <s v="https://www.facebook.com/myfcaa/"/>
        <s v="https://www.facebook.com/ochoplacas/"/>
        <s v="https://www.facebook.com/OlemShoeCorp/"/>
        <s v="https://www.facebook.com/originallookautosales/"/>
        <s v="https://www.facebook.com/ourshopautorepairs/"/>
        <s v="https://www.facebook.com/p/ALS-Medical-Group-100070481402996/"/>
        <s v="https://www.facebook.com/p/Birch-Patio-Motel-100069655021722/"/>
        <s v="https://www.facebook.com/p/Cameron-Law-Group-100057515346188/"/>
        <s v="https://www.facebook.com/p/Complete-Yacht-Service-100063575679442/"/>
        <s v="https://www.facebook.com/p/Coral-Gables-Florist-100067677827539/"/>
        <s v="https://www.facebook.com/p/Egg-You-Diner-100063651605655/"/>
        <s v="https://www.facebook.com/p/El-Diamant%C3%A9-Jewelry-Pawn-100063495432776/"/>
        <s v="https://www.facebook.com/p/Lasseter-Plumbing-Co-Inc-100069806585920/"/>
        <s v="https://www.facebook.com/p/Lendoiro-Jewelry-Pawn-Shop-100080149462138/"/>
        <s v="https://www.facebook.com/p/Lindsay-Taylor-Property-Management-100047539872968/"/>
        <s v="https://www.facebook.com/p/Liner-Growers-Nursery-100064570097118/"/>
        <s v="https://www.facebook.com/p/Los-3-Conejitos-Bakery-100065355975126/"/>
        <s v="https://www.facebook.com/p/Magic-Tailoring-100063447624388/"/>
        <s v="https://www.facebook.com/p/Manuel-Diaz-Farms-100068054691116/"/>
        <s v="https://www.facebook.com/p/Medina-Sons-Plumbing-Supply-100066909060360/"/>
        <s v="https://www.facebook.com/p/Nanas-Child-Care-Learning-Center-Inc-100057056304794/"/>
        <s v="https://www.facebook.com/p/Oasis-Travel-Tours-100092281502112/"/>
        <s v="https://www.facebook.com/p/Optica-Lopez-100066310637470/"/>
        <s v="https://www.facebook.com/p/Pina-Fashions-100054673860167/"/>
        <s v="https://www.facebook.com/p/Plantation-Chiropractic-100063776342532/"/>
        <s v="https://www.facebook.com/p/Professional-Plumbing-Corp-100068491297165/"/>
        <s v="https://www.facebook.com/p/Superior-Stainless-100069480037926/"/>
        <s v="https://www.facebook.com/p/Yacht-Mechanics-of-Florida-100069725744805/"/>
        <s v="https://www.facebook.com/p/Yachting-Bliss-100057535448086/"/>
        <s v="https://www.facebook.com/PantherandCo/"/>
        <s v="https://www.facebook.com/parkojewelry/"/>
        <s v="https://www.facebook.com/plummmmbershere/"/>
        <s v="https://www.facebook.com/procollision75/"/>
        <s v="https://www.facebook.com/Promptus.us/"/>
        <s v="https://www.facebook.com/QualityGrowersInc/"/>
        <s v="https://www.facebook.com/ramonpuigguayaberas/"/>
        <s v="https://www.facebook.com/reydelasfritas/"/>
        <s v="https://www.facebook.com/RichardsJewelryMiami/"/>
        <s v="https://www.facebook.com/rplantsinc/"/>
        <s v="https://www.facebook.com/RubioPharmacy/"/>
        <s v="https://www.facebook.com/samarineservices/"/>
        <s v="https://www.facebook.com/santosbarbershophollywood/"/>
        <s v="https://www.facebook.com/southfloridasigncompany/"/>
        <s v="https://www.facebook.com/spimiami/"/>
        <s v="https://www.facebook.com/sportanddanceacademy/"/>
        <s v="https://www.facebook.com/SteelWorksRebar/"/>
        <s v="https://www.facebook.com/StefanosTattooStudioFL/"/>
        <s v="https://www.facebook.com/SudsiesDryCleanersMiamiBeachBoutique/"/>
        <s v="https://www.facebook.com/TattooGalleryFTL/"/>
        <s v="https://www.facebook.com/teniola.botanica/"/>
        <s v="https://www.facebook.com/TFOMIA/"/>
        <s v="https://www.facebook.com/TheGuitarNook/"/>
        <s v="https://www.facebook.com/THEHAVANACOLLECTION/"/>
        <s v="https://www.facebook.com/themagicdancestudio/"/>
        <s v="https://www.facebook.com/TheTempleHouse/"/>
        <s v="https://www.facebook.com/wisechoicetutoringKENDALL/"/>
        <s v="https://www.facebook.com/wyn.studios/"/>
        <m/>
      </sharedItems>
    </cacheField>
    <cacheField name="Instagram" numFmtId="0">
      <sharedItems containsBlank="1" count="32">
        <s v="https://www.instagram.com/adanimalhospital/"/>
        <s v="https://www.instagram.com/alsmedicalgroup/"/>
        <s v="https://www.instagram.com/aventuradentalarts/"/>
        <s v="https://www.instagram.com/bellisfragances/"/>
        <s v="https://www.instagram.com/bikinibrasilboutique/"/>
        <s v="https://www.instagram.com/elbajareque/"/>
        <s v="https://www.instagram.com/elegant_parties/"/>
        <s v="https://www.instagram.com/excellent_fruit_and_produce/"/>
        <s v="https://www.instagram.com/forbesmiami/"/>
        <s v="https://www.instagram.com/gablesbridaldoral/"/>
        <s v="https://www.instagram.com/joyerialendoiromiami/"/>
        <s v="https://www.instagram.com/kangarooboxinggym/"/>
        <s v="https://www.instagram.com/kkdental/"/>
        <s v="https://www.instagram.com/los3conejitosbakery/"/>
        <s v="https://www.instagram.com/magique.hairsalon/"/>
        <s v="https://www.instagram.com/marinaroadboatyard/"/>
        <s v="https://www.instagram.com/minebenderjewelers/"/>
        <s v="https://www.instagram.com/musiclegacies/"/>
        <s v="https://www.instagram.com/nemarojewelers/"/>
        <s v="https://www.instagram.com/opportunityinsurance/"/>
        <s v="https://www.instagram.com/ourshopautorepairsinc/"/>
        <s v="https://www.instagram.com/panthertrucking/"/>
        <s v="https://www.instagram.com/reydelasfritas/"/>
        <s v="https://www.instagram.com/stefanostattoofl/"/>
        <s v="https://www.instagram.com/tailor_republic/"/>
        <s v="https://www.instagram.com/tarksdania/"/>
        <s v="https://www.instagram.com/tattoosbyloumiami/"/>
        <s v="https://www.instagram.com/tdairconditioning/"/>
        <s v="https://www.instagram.com/teniola_botanica/"/>
        <s v="https://www.instagram.com/tiresworldcorp/"/>
        <s v="https://www.instagram.com/zaidspinerincometaxservices/"/>
        <m/>
      </sharedItems>
    </cacheField>
    <cacheField name="LinkedIn" numFmtId="0">
      <sharedItems containsBlank="1" count="24">
        <s v="https://www.linkedin.com/company/allsteel-&amp;-gypsum-inc"/>
        <s v="https://www.linkedin.com/company/amigo-pallets-florida"/>
        <s v="https://www.linkedin.com/company/big-beat-productions-inc"/>
        <s v="https://www.linkedin.com/company/carrollsjewelers"/>
        <s v="https://www.linkedin.com/company/criteria-recording-studios"/>
        <s v="https://www.linkedin.com/company/delio-photo-studio"/>
        <s v="https://www.linkedin.com/company/envios-22-24-inc"/>
        <s v="https://www.linkedin.com/company/excellent-fruit-&amp;-produce"/>
        <s v="https://www.linkedin.com/company/first-sign-corp"/>
        <s v="https://www.linkedin.com/company/forbes-architects"/>
        <s v="https://www.linkedin.com/company/international-cruise-food-hotel-suppliers-inc"/>
        <s v="https://www.linkedin.com/company/kendale-air-conditioning"/>
        <s v="https://www.linkedin.com/company/kendall-south-medical-center-inc"/>
        <s v="https://www.linkedin.com/company/la-belle-perfume-distributors"/>
        <s v="https://www.linkedin.com/company/markon-realty-and-management-inc."/>
        <s v="https://www.linkedin.com/company/medley-steel-&amp;-supply-inc"/>
        <s v="https://www.linkedin.com/company/orthopedic-rehabilitation-specialists-inc."/>
        <s v="https://www.linkedin.com/company/promptus-llc"/>
        <s v="https://www.linkedin.com/company/richards-gems-jewelry"/>
        <s v="https://www.linkedin.com/company/solo-printing-company"/>
        <s v="https://www.linkedin.com/company/structural-prestressed-industries-inc-"/>
        <s v="https://www.linkedin.com/company/the-guitar-nook-inc."/>
        <s v="https://www.linkedin.com/company/wynwood-studio"/>
        <m/>
      </sharedItems>
    </cacheField>
    <cacheField name="Yelp" numFmtId="0">
      <sharedItems containsBlank="1" count="227">
        <s v="https://m.m.yelp.com/biz/team-perfume-center-miami-2"/>
        <s v="https://m.yelp.com/biz/doral-freight-logistics-doral"/>
        <s v="https://m.yelp.com/biz/plumbing-experts-inc-north-miami-beach"/>
        <s v="https://www.yelp.com/biz/2000-cafe-hialeah"/>
        <s v="https://www.yelp.com/biz/24-hour-traffic-and-driving-school-hialeah"/>
        <s v="https://www.yelp.com/biz/4-u-unlimited-miami"/>
        <s v="https://www.yelp.com/biz/42nd-street-recording-studios-fort-lauderdale-2"/>
        <s v="https://www.yelp.com/biz/a-1-mirta-driving-school-hialeah"/>
        <s v="https://www.yelp.com/biz/a-and-g-insurance-hialeah"/>
        <s v="https://www.yelp.com/biz/a-labor-of-love-dog-grooming-salon-miami-3"/>
        <s v="https://www.yelp.com/biz/alberts-fine-jewelers-miami"/>
        <s v="https://www.yelp.com/biz/alexandrias-grooming-fort-lauderdale"/>
        <s v="https://www.yelp.com/biz/all-power-marine-boatlifts-and-docks-pompano-beach"/>
        <s v="https://www.yelp.com/biz/all-star-aluminum-window-and-doors-hialeah"/>
        <s v="https://www.yelp.com/biz/all-uniform-wear-doral-2"/>
        <s v="https://www.yelp.com/biz/allstar-insurance-services-north-bay-village"/>
        <s v="https://www.yelp.com/biz/allsteel-and-gypsum-medley-2"/>
        <s v="https://www.yelp.com/biz/als-auto-service-center-miami-gardens"/>
        <s v="https://www.yelp.com/biz/aqua-marina-marina-road-fort-lauderdale"/>
        <s v="https://www.yelp.com/biz/aventura-dental-arts-miami-2"/>
        <s v="https://www.yelp.com/biz/ballroom-events-banquet-hall-miami-gardens"/>
        <s v="https://www.yelp.com/biz/beauty-schools-of-america-hialeah"/>
        <s v="https://www.yelp.com/biz/bellis-perfumes-miami-5"/>
        <s v="https://www.yelp.com/biz/best-dry-cleaners-and-shoe-repair-miami-beach"/>
        <s v="https://www.yelp.com/biz/big-beat-productions-coral-springs"/>
        <s v="https://www.yelp.com/biz/bikini-brasil-miami-beach"/>
        <s v="https://www.yelp.com/biz/birch-patio-motel-fort-lauderdale"/>
        <s v="https://www.yelp.com/biz/boatside-services-fort-lauderdale"/>
        <s v="https://www.yelp.com/biz/bos-jewelers-miami"/>
        <s v="https://www.yelp.com/biz/botanica-ache-iboru-hialeah"/>
        <s v="https://www.yelp.com/biz/botanica-ibu-kole5-hialeah"/>
        <s v="https://www.yelp.com/biz/botanica-inshe-hialeah"/>
        <s v="https://www.yelp.com/biz/botanica-nena-miami-2"/>
        <s v="https://www.yelp.com/biz/botanica-olocun-hialeah"/>
        <s v="https://www.yelp.com/biz/botanica-teniola-hialeah-2"/>
        <s v="https://www.yelp.com/biz/brothers-produce-miami"/>
        <s v="https://www.yelp.com/biz/cameron-law-group-tamarac"/>
        <s v="https://www.yelp.com/biz/carolinas-design-and-alterations-coral-gables"/>
        <s v="https://www.yelp.com/biz/carrolls-jewelers-fort-lauderdale"/>
        <s v="https://www.yelp.com/biz/chantilly-jewels-miami"/>
        <s v="https://www.yelp.com/biz/chez-madame-johns-restaurant-north-miami"/>
        <s v="https://www.yelp.com/biz/chocolada-bakery-and-cafe-hollywood"/>
        <s v="https://www.yelp.com/biz/chungs-kung-fu-and-tai-chi-academy-fort-lauderdale"/>
        <s v="https://www.yelp.com/biz/classic-pawn-and-jewelry-fort-lauderdale"/>
        <s v="https://www.yelp.com/biz/complete-yacht-service-fort-lauderdale"/>
        <s v="https://www.yelp.com/biz/construct-group-corporation-hialeah"/>
        <s v="https://www.yelp.com/biz/continental-trust-mortgage-miami-2"/>
        <s v="https://www.yelp.com/biz/coral-gables-florist-coral-gables"/>
        <s v="https://www.yelp.com/biz/criteria-recording-studios-miami-3"/>
        <s v="https://www.yelp.com/biz/cvac-expert-davie"/>
        <s v="https://www.yelp.com/biz/cyma-truck-repair-medley"/>
        <s v="https://www.yelp.com/biz/darbys-florist-coral-springs"/>
        <s v="https://www.yelp.com/biz/deborah-james-fort-lauderdale"/>
        <s v="https://www.yelp.com/biz/del-valle-jose-m-dds-pa-hialeah"/>
        <s v="https://www.yelp.com/biz/delio-photo-studio-miami-2"/>
        <s v="https://www.yelp.com/biz/diamond-venue-doral"/>
        <s v="https://www.yelp.com/biz/diane-oceanfront-suites-hollywood"/>
        <s v="https://www.yelp.com/biz/dinas-cleaners-doral"/>
        <s v="https://www.yelp.com/biz/dixie-pawn-and-jewelry-hollywood"/>
        <s v="https://www.yelp.com/biz/doral-bakery-and-cafeteria-doral"/>
        <s v="https://www.yelp.com/biz/doral-family-dental-doral"/>
        <s v="https://www.yelp.com/biz/e-and-p-printing-miami"/>
        <s v="https://www.yelp.com/biz/eduardos-jewelry-and-watch-repair-shop-coral-gables"/>
        <s v="https://www.yelp.com/biz/egg-and-you-diner-fort-lauderdale"/>
        <s v="https://www.yelp.com/biz/el-bajareque-restaurant-miami"/>
        <s v="https://www.yelp.com/biz/el-diamante-jewelry-and-pawn-miami"/>
        <s v="https://www.yelp.com/biz/el-exquisito-miami-2"/>
        <s v="https://www.yelp.com/biz/el-rey-de-las-fritas-miami"/>
        <s v="https://www.yelp.com/biz/el-yoyito-restaurant-y-cafeteria-hialeah"/>
        <s v="https://www.yelp.com/biz/elegant-parties-pompano-beach-2"/>
        <s v="https://www.yelp.com/biz/elios-locksmith-miami-2"/>
        <s v="https://www.yelp.com/biz/entonces-watch-and-jewelry-repair-aventura-2"/>
        <s v="https://www.yelp.com/biz/envios-2224-hialeah"/>
        <s v="https://www.yelp.com/biz/excellent-fruit-and-produce-miami"/>
        <s v="https://www.yelp.com/biz/exotic-eyewear-optical-fort-lauderdale"/>
        <s v="https://www.yelp.com/biz/eyeglass-emporium-miami-beach"/>
        <s v="https://www.yelp.com/biz/farley-veterinary-clinic-hollywood"/>
        <s v="https://www.yelp.com/biz/fast-lane-auto-repairs-pompano-beach"/>
        <s v="https://www.yelp.com/biz/felix-pardo-coral-gables"/>
        <s v="https://www.yelp.com/biz/ferrara-auto-spa-hollywood"/>
        <s v="https://www.yelp.com/biz/fiesta-party-rentals-miami-gardens"/>
        <s v="https://www.yelp.com/biz/first-class-appliances-davie-2"/>
        <s v="https://www.yelp.com/biz/first-sign-pompano-beach"/>
        <s v="https://www.yelp.com/biz/florida-insurance-and-plus-hollywood"/>
        <s v="https://www.yelp.com/biz/florida-pest-specialists-miami"/>
        <s v="https://www.yelp.com/biz/floridian-pest-control-miami"/>
        <s v="https://www.yelp.com/biz/forbes-architects-coral-gables"/>
        <s v="https://www.yelp.com/biz/frame-art-miami-4"/>
        <s v="https://www.yelp.com/biz/frases-and-frases-insurance-agency-hialeah"/>
        <s v="https://www.yelp.com/biz/giralda-cleaners-coral-gables-4"/>
        <s v="https://www.yelp.com/biz/gladys-tires-hialeah-2"/>
        <s v="https://www.yelp.com/biz/gondia-machine-shop-medley"/>
        <s v="https://www.yelp.com/biz/hialeah-bakery-hialeah"/>
        <s v="https://www.yelp.com/biz/home-hardware-and-supply-homestead-2"/>
        <s v="https://www.yelp.com/biz/home-optical-miami-beach"/>
        <s v="https://www.yelp.com/biz/homerun-barbershop-miami"/>
        <s v="https://www.yelp.com/biz/hoorays-from-hollywood-hollywood"/>
        <s v="https://www.yelp.com/biz/humbertos-shoe-luggage-repair-and-tailor-pembroke-pines"/>
        <s v="https://www.yelp.com/biz/idolls-boutique-miami-gardens"/>
        <s v="https://www.yelp.com/biz/isabel-boutique-weston"/>
        <s v="https://www.yelp.com/biz/ive-been-framed-miami-4"/>
        <s v="https://www.yelp.com/biz/jaes-jewelers-coral-gables"/>
        <s v="https://www.yelp.com/biz/jeaneration-coral-springs"/>
        <s v="https://www.yelp.com/biz/joans-florist-hollywood"/>
        <s v="https://www.yelp.com/biz/joes-barber-shop-hialeah"/>
        <s v="https://www.yelp.com/biz/kangaroo-boxing-gym-hialeah-gardens"/>
        <s v="https://www.yelp.com/biz/kendale-air-conditioning-miami"/>
        <s v="https://www.yelp.com/biz/kendall-conservatory-of-music-inc-miami"/>
        <s v="https://www.yelp.com/biz/kendall-jewelry-miami"/>
        <s v="https://www.yelp.com/biz/kendall-medical-center-miami"/>
        <s v="https://www.yelp.com/biz/kendall-south-medical-center-miami"/>
        <s v="https://www.yelp.com/biz/kendalls-bakery-restaurant-miami"/>
        <s v="https://www.yelp.com/biz/khai-les-alterations-miami-beach"/>
        <s v="https://www.yelp.com/biz/kings-pawn-fort-lauderdale"/>
        <s v="https://www.yelp.com/biz/krome-auto-and-tire-homestead"/>
        <s v="https://www.yelp.com/biz/l-auberge-haitian-restaurant-north-miami"/>
        <s v="https://www.yelp.com/biz/l-estetica-salon-aventura"/>
        <s v="https://www.yelp.com/biz/la-belle-beauty-school-hialeah"/>
        <s v="https://www.yelp.com/biz/la-belle-perfume-distributors-miami"/>
        <s v="https://www.yelp.com/biz/larosa-diesel-mechanical-medley"/>
        <s v="https://www.yelp.com/biz/lasseter-plumbing-north-miami"/>
        <s v="https://www.yelp.com/biz/latin-cafe-2000-hialeah"/>
        <s v="https://www.yelp.com/biz/lelook-optical-north-miami"/>
        <s v="https://www.yelp.com/biz/lendoiro-jewelry-and-pawn-shop-miami"/>
        <s v="https://www.yelp.com/biz/liner-growers-nursery-homestead-3"/>
        <s v="https://www.yelp.com/biz/lois-alteration-shop-hollywood"/>
        <s v="https://www.yelp.com/biz/loman-distributers-doral"/>
        <s v="https://www.yelp.com/biz/los-tres-conejitos-bakery-hialeah"/>
        <s v="https://www.yelp.com/biz/magic-tailoring-coral-gables"/>
        <s v="https://www.yelp.com/biz/magique-hair-salon-aventura"/>
        <s v="https://www.yelp.com/biz/malu-plumbing-miami"/>
        <s v="https://www.yelp.com/biz/mannys-plumbing-service-hialeah"/>
        <s v="https://www.yelp.com/biz/marcellas-fashion-weston"/>
        <s v="https://www.yelp.com/biz/markon-realty-and-management-fort-lauderdale"/>
        <s v="https://www.yelp.com/biz/marks-quality-cleaners-miami-beach-2"/>
        <s v="https://www.yelp.com/biz/martin-accounting-and-tax-service-hialeah"/>
        <s v="https://www.yelp.com/biz/martinez-distributors-miami-2"/>
        <s v="https://www.yelp.com/biz/medallion-trees-farms-homestead"/>
        <s v="https://www.yelp.com/biz/medina-and-son-plumbing-supply-hialeah"/>
        <s v="https://www.yelp.com/biz/medley-machine-shop-and-welding-service-medley"/>
        <s v="https://www.yelp.com/biz/medley-steel-supply-medley"/>
        <s v="https://www.yelp.com/biz/mi-casa-furniture-hialeah-2"/>
        <s v="https://www.yelp.com/biz/miami-beach-chiropractic-and-rehabilitation-ctr-pa-miami"/>
        <s v="https://www.yelp.com/biz/miami-income-tax-miami"/>
        <s v="https://www.yelp.com/biz/minebender-jewelers-hollywood"/>
        <s v="https://www.yelp.com/biz/miros-watch-repair-miami"/>
        <s v="https://www.yelp.com/biz/montero-dental-center-hialeah"/>
        <s v="https://www.yelp.com/biz/morningstars-jewelers-and-pawnbrokers-hollywood"/>
        <s v="https://www.yelp.com/biz/mortgage-funding-group-plantation"/>
        <s v="https://www.yelp.com/biz/murnor-studio-coral-gables"/>
        <s v="https://www.yelp.com/biz/music-arts-enterprises-fort-lauderdale-3"/>
        <s v="https://www.yelp.com/biz/music-legacies-pembroke-pines"/>
        <s v="https://www.yelp.com/biz/music-tech-studios-pembroke-pines"/>
        <s v="https://www.yelp.com/biz/nanas-child-care-hialeah"/>
        <s v="https://www.yelp.com/biz/neighbors-moving-and-storage-pompano-beach-3"/>
        <s v="https://www.yelp.com/biz/nemaro-jewelers-miami"/>
        <s v="https://www.yelp.com/biz/new-england-plumbing-miami"/>
        <s v="https://www.yelp.com/biz/normans-tavern-miami-beach-4"/>
        <s v="https://www.yelp.com/biz/oasis-travel-and-tours-coral-gables"/>
        <s v="https://www.yelp.com/biz/ocho-placas-tattoos-miami"/>
        <s v="https://www.yelp.com/biz/olem-shoe-corp-miami-2"/>
        <s v="https://www.yelp.com/biz/opportunity-insurance-hialeah"/>
        <s v="https://www.yelp.com/biz/optica-lopez-miami"/>
        <s v="https://www.yelp.com/biz/original-look-auto-sales-pompano-beach"/>
        <s v="https://www.yelp.com/biz/orthopedic-rehabilitation-specialists-miami"/>
        <s v="https://www.yelp.com/biz/our-shop-pompano-beach"/>
        <s v="https://www.yelp.com/biz/pablos-machine-shop-and-welding-corp-medley"/>
        <s v="https://www.yelp.com/biz/parko-jewelry-and-pawn-miami"/>
        <s v="https://www.yelp.com/biz/pina-tailoring-and-alterations-fort-lauderdale"/>
        <s v="https://www.yelp.com/biz/pines-alteration-pembroke-pines"/>
        <s v="https://www.yelp.com/biz/pro-collision-center-hialeah"/>
        <s v="https://www.yelp.com/biz/professional-plumbing-hialeah"/>
        <s v="https://www.yelp.com/biz/professional-tailoring-coral-springs"/>
        <s v="https://www.yelp.com/biz/promptus-llc-miramar-8"/>
        <s v="https://www.yelp.com/biz/puerto-sagua-restaurant-miami-beach"/>
        <s v="https://www.yelp.com/biz/r-plants-homestead-2"/>
        <s v="https://www.yelp.com/biz/ramallo-assurance-inc-miami-2"/>
        <s v="https://www.yelp.com/biz/rana-furniture-hialeah-3"/>
        <s v="https://www.yelp.com/biz/rbtt-boxing-gym-hialeah"/>
        <s v="https://www.yelp.com/biz/richards-gems-and-jewelry-miami"/>
        <s v="https://www.yelp.com/biz/rubio-pharmacy-and-discount-hialeah"/>
        <s v="https://www.yelp.com/biz/s-a-marine-services-pompano-beach"/>
        <s v="https://www.yelp.com/biz/s-a-watch-repair-miami"/>
        <s v="https://www.yelp.com/biz/santos-barber-shop-hollywood"/>
        <s v="https://www.yelp.com/biz/sari-express-forwarders-hialeah"/>
        <s v="https://www.yelp.com/biz/sartori-amici-coral-gables-3"/>
        <s v="https://www.yelp.com/biz/senaduana-freight-forwarders-doral"/>
        <s v="https://www.yelp.com/biz/shoe-gallery-miami"/>
        <s v="https://www.yelp.com/biz/shoreline-marine-pompano-beach"/>
        <s v="https://www.yelp.com/biz/solo-printing-miami"/>
        <s v="https://www.yelp.com/biz/south-florida-sign-pompano-beach"/>
        <s v="https://www.yelp.com/biz/sport-and-dance-academy-hialeah"/>
        <s v="https://www.yelp.com/biz/steel-works-rebarb-fabricators-medley"/>
        <s v="https://www.yelp.com/biz/stefanos-tattoo-studio-fort-lauderdale"/>
        <s v="https://www.yelp.com/biz/sudsies-dry-cleaners-miami-beach"/>
        <s v="https://www.yelp.com/biz/super-diesel-truck-repair-medley"/>
        <s v="https://www.yelp.com/biz/tailor-republic-miami-beach-2"/>
        <s v="https://www.yelp.com/biz/tango-body-shop-hialeah"/>
        <s v="https://www.yelp.com/biz/targa-insurance-fort-lauderdale"/>
        <s v="https://www.yelp.com/biz/tarks-of-dania-beach-dania-beach"/>
        <s v="https://www.yelp.com/biz/tattoos-by-lou-north-miami-miami-2"/>
        <s v="https://www.yelp.com/biz/texaco-pompano-beach-pompano-beach"/>
        <s v="https://www.yelp.com/biz/the-auto-spot-pompano-beach"/>
        <s v="https://www.yelp.com/biz/the-endowment-banquet-hall-miami-gardens"/>
        <s v="https://www.yelp.com/biz/the-guitar-nook-north-miami-beach"/>
        <s v="https://www.yelp.com/biz/the-havana-shirt-store-miami"/>
        <s v="https://www.yelp.com/biz/the-hit-music-studio-pembroke-pines-pembroke-pines"/>
        <s v="https://www.yelp.com/biz/the-magic-dance-academy-hialeah"/>
        <s v="https://www.yelp.com/biz/the-original-cuban-barbershop-miami-3"/>
        <s v="https://www.yelp.com/biz/the-perfect-fit-miami-beach-2"/>
        <s v="https://www.yelp.com/biz/the-tattoo-gallery-fort-lauderdale"/>
        <s v="https://www.yelp.com/biz/the-temple-house-miami-beach"/>
        <s v="https://www.yelp.com/biz/three-js-management-sunrise"/>
        <s v="https://www.yelp.com/biz/tire-factory-outlet-hialeah"/>
        <s v="https://www.yelp.com/biz/tires-world-hialeah-2"/>
        <s v="https://www.yelp.com/biz/trachtenberg-lee-dc-plantation-2"/>
        <s v="https://www.yelp.com/biz/tropical-pharmacy-plantation-2"/>
        <s v="https://www.yelp.com/biz/twins-animal-hospital-hialeah"/>
        <s v="https://www.yelp.com/biz/warehouse-uniform-and-embroidery-doral"/>
        <s v="https://www.yelp.com/biz/watch-repair-miami-3"/>
        <s v="https://www.yelp.com/biz/we-buy-gold-north-miami-beach-north-miami-beach"/>
        <s v="https://www.yelp.com/biz/wise-choice-tutoring-center-miami"/>
        <s v="https://www.yelp.com/biz/wynwood-car-wash-miami"/>
        <s v="https://www.yelp.com/biz/wynwood-studio-miami"/>
        <s v="https://www.yelp.com/biz/yacht-mechanics-of-florida-fort-lauderdale"/>
        <s v="https://www.yelp.com/biz/yachting-bliss-pompano-beach"/>
        <m/>
      </sharedItems>
    </cacheField>
    <cacheField name="Fuente contacto" numFmtId="0">
      <sharedItems containsBlank="1" count="279">
        <s v="alsmedicalgroup.com"/>
        <s v="aventuradentalarts.com"/>
        <s v="famiami.com"/>
        <s v="Healthgrades"/>
        <s v="http://aafloridapallets.com/contact/"/>
        <s v="http://www.buzzfile.com/business/SPI-305-556-6699"/>
        <s v="http://www.proplumb.net/contact_us.php"/>
        <s v="http://www.tax-recovery-services.com/contact.php"/>
        <s v="http://www.truckbrokeragebynational.com/Contact-Us.html"/>
        <s v="https://allstaraluminum.com/contact/"/>
        <s v="https://alsautoserviceinc.com/contact/"/>
        <s v="https://amigopallets.com/contact-us/"/>
        <s v="https://ballroomeventsbanquethall.com/"/>
        <s v="https://booksy.com/en-us/1064288_la-barberia-the-original-cuban-barbershop_barber-shop_15889_miami"/>
        <s v="https://bubba.ai/trucking-companies/florida/medley/high-quality-trucking-inc-1571543"/>
        <s v="https://calleochonews.com/fidel-asis-opens-another-havana-collection-location-inside-futurama-art-galleries/"/>
        <s v="https://cameronlawgroup.com/contact-us/"/>
        <s v="https://carrollsjewelers.com/pages/contact-us"/>
        <s v="https://chantillyjewels.com/contact/"/>
        <s v="https://childcarecenter.us/provider_detail/nanas_child_care_inc_hialeah_fl"/>
        <s v="https://citytocitymarket.com/first-class-appliances-davie"/>
        <s v="https://citytocitymarket.com/parko-jewelry-and-pawn-miami"/>
        <s v="https://cvacexpert.com/contact-us/"/>
        <s v="https://dianeoceanfrontsuites.com/"/>
        <s v="https://dixiepawnfl.com/"/>
        <s v="https://doralfamilydental.com/about/"/>
        <s v="https://doralfreight.com/doral-freight/contact-us/"/>
        <s v="https://elbajarequerestaurant.com/contact-us"/>
        <s v="https://everloved.com/funeral-homes/FL/miami-gardens/hadley-davis-funeral-home-miami-gardens-fl-33054/"/>
        <s v="https://excellentfruitandproduce.com/contact/"/>
        <s v="https://exoticeyewearoptical.com/contact-us.html"/>
        <s v="https://eyeglassemporiummiami.com/contact-us/"/>
        <s v="https://fabric-stores.cmac.ws/loman-distributors/11229/"/>
        <s v="https://flamingofishing.com/"/>
        <s v="https://freight-forwarding-companies.cmac.ws/conavenca-freight-forwarder/14222/"/>
        <s v="https://goldensandoceanfront.godaddysites.com/"/>
        <s v="https://home-optical.miamibeachdirect.us/contact/"/>
        <s v="https://icfh.com/contact-us/"/>
        <s v="https://islandhousesouthbeach.com/"/>
        <s v="https://jewelers.cmac.ws/minebender-jewelry/55656/"/>
        <s v="https://labellebeauty.net/contact-us/la-belle-school-hialeah"/>
        <s v="https://larosadieselmechanical.com/"/>
        <s v="https://lesteticasalon.com/contact-us/"/>
        <s v="https://local.yahoo.com/info-102811657-pablo-s-machine-shop-welding-corp-medley/"/>
        <s v="https://local.yahoo.com/info-120238237-chung-s-kung-fu-and-tai-chi-academy-fort-lauderdale"/>
        <s v="https://local.yahoo.com/info-127474321-wynwood-car-wash-miami/"/>
        <s v="https://local.yahoo.com/info-14171006-sari-express-forwarders-incorporated-hialeah"/>
        <s v="https://local.yahoo.com/info-14173587-manny-s-plumbing-service-hialeah/"/>
        <s v="https://local.yahoo.com/info-14319666-egg-you-diner-fort-lauderdale/"/>
        <s v="https://local.yahoo.com/info-14348099-the-tattoo-gallery-fort-lauderdale/"/>
        <s v="https://local.yahoo.com/info-192956246-kendall-s-bakery-restaurant-miami/"/>
        <s v="https://local.yahoo.com/info-195070502-construct-group-corp-hialeah-gardens/"/>
        <s v="https://local.yahoo.com/info-211983306-marante-distributors-corp-hialeah/"/>
        <s v="https://local.yahoo.com/info-233970697-kangaroo-boxing-gym-hialeah-gardens/"/>
        <s v="https://local.yahoo.com/info-236448236-rbtt-boxing-gym-hialeah/"/>
        <s v="https://local.yahoo.com/info-237171825-gables-bridal-doral/"/>
        <s v="https://local.yahoo.com/info-88725828-doral-bakery-cafeteria-doral/"/>
        <s v="https://magnolia-fashion-wholesale.miamidirect.us/contact/"/>
        <s v="https://marinas.com/view/marina/x1cx3d_Marina_Road_Boat_Yard_Fort_Lauderdale_FL_United_States"/>
        <s v="https://marineboatlifts.com/about/contact/"/>
        <s v="https://marksqualitycleaners.net/contact/"/>
        <s v="https://medleysteel.com/contact"/>
        <s v="https://morningstarsjewelers.com/pages/contact"/>
        <s v="https://musictechstudios.com/"/>
        <s v="https://nextdoor.com/pages/carolinas-design-alterations-coral-gables-fl/"/>
        <s v="https://olemshoe.com/about-us/"/>
        <s v="https://opticallopez.com/contact-us/"/>
        <s v="https://puertosagua.org/locations.html"/>
        <s v="https://reviews.birdeye.com/tires-world-corp-156071049544232"/>
        <s v="https://search.sunbiz.org/"/>
        <s v="https://seyboldjewelry.com/alberts-fine-jewelers/"/>
        <s v="https://site.coralgableschamber.org/Retail/Sartori-Amici-My-Grooms-Room-9146"/>
        <s v="https://soloprinting.com/contact-soloprinting/"/>
        <s v="https://stores-goods.com/Florida/Miami/Little_Havana_Tattoo_Studio"/>
        <s v="https://tarksofdania.com/"/>
        <s v="https://us.o2osell.com/shops/jonel-knitting-mills"/>
        <s v="https://www.alignable.com/miami-fl/b-o-s-jewelers-inc"/>
        <s v="https://www.allsteelproducts.com/contact.php"/>
        <s v="https://www.alluniformwear.com/doral"/>
        <s v="https://www.bbb.org/us/fl/fort-lauderdale/profile/boat-repair/top-quality-yachts-refinishing-refurbishing-0633-4006026"/>
        <s v="https://www.bbb.org/us/fl/fort-lauderdale/profile/pet-grooming/alexandrias-grooming-inc-0633-7003888"/>
        <s v="https://www.bbb.org/us/fl/ft-lauderdale/profile/boat-repair/superior-stainless-yacht-repair-0633-11011513"/>
        <s v="https://www.bbb.org/us/fl/hialeah/profile/insurance-agency/continental-insurance-office-0633-92071289"/>
        <s v="https://www.bbb.org/us/fl/hialeah/profile/tire-dealers/tire-factory-outlet-inc-0633-92018796"/>
        <s v="https://www.bbb.org/us/fl/homestead/profile/farm/sam-s-accursio-and-sons-farms-inc-0633-92023619"/>
        <s v="https://www.bbb.org/us/fl/homestead/profile/paving-contractors/florida-paving-trucking-inc-0633-5003759"/>
        <s v="https://www.bbb.org/us/fl/lauderdale-lakes/profile/real-estate-investing/ymp-real-estate-management-llc-0633-90096264"/>
        <s v="https://www.bbb.org/us/fl/miami-beach/profile/insurance-services-office/allstar-insurance-services-inc-0633-27003053"/>
        <s v="https://www.bbb.org/us/fl/miami-gardens/profile/plumbing-renovation/malu-plumbing-corp-0633-92034364"/>
        <s v="https://www.bbb.org/us/fl/miami/profile/driving-lessons/metro-traffic-school-0633-20002069"/>
        <s v="https://www.bbb.org/us/fl/miami/profile/jewelry-stores/richards-gems-jewelry-0633-5003813"/>
        <s v="https://www.bbb.org/us/fl/miami/profile/pawnbroker/el-diamante-jewelry-pawn-0633-92004423"/>
        <s v="https://www.bbb.org/us/fl/miami/profile/perfume/la-belle-distributors-inc-0633-90153178"/>
        <s v="https://www.bbb.org/us/fl/miami/profile/pest-control/florida-pest-specialists-inc-0633-90332736"/>
        <s v="https://www.bbb.org/us/fl/miami/profile/religious-goods/botanica-nena-0633-90212586"/>
        <s v="https://www.bbb.org/us/fl/miramar/profile/burglar-alarm-systems/safeguard-security-international-inc-0633-92016539/"/>
        <s v="https://www.bbb.org/us/fl/pembroke-pines/profile/clothing-alterations/pines-alterations-and-tailoring-0633-90081510"/>
        <s v="https://www.bbb.org/us/fl/pompano-beach/profile/auto-repair/original-look-0633-90132733"/>
        <s v="https://www.bbb.org/us/fl/pompano-beach/profile/auto-repair/pompano-beach-texaco-0633-35000319"/>
        <s v="https://www.bbb.org/us/fl/pompano-beach/profile/boat-repair/shoreline-marine-llc-0633-92014132"/>
        <s v="https://www.bbb.org/us/fl/pompano-beach/profile/moving-companies/neighbors-moving-services-inc-0633-90059835"/>
        <s v="https://www.bbb.org/us/fl/sunrise/profile/property-management/lindsay-taylor-property-management-inc-0633-92032382"/>
        <s v="https://www.birchpatio.com/contact-us"/>
        <s v="https://www.bizprofile.net/fl/coral-springs/professional-tailoring-inc"/>
        <s v="https://www.buzzfile.com/business/A-1-Mirta-Driving-School-305-836-6681"/>
        <s v="https://www.buzzfile.com/business/Boatside-Services-954-791-3700"/>
        <s v="https://www.buzzfile.com/business/Kryterion-Property-Services-LLC-954-789-0449"/>
        <s v="https://www.chamberofcommerce.com/business-directory/florida/aventura/watch-repair-service/2006700389-entonces-jewelry-and-watch-repair"/>
        <s v="https://www.chamberofcommerce.com/business-directory/florida/doral/freight-forwarding-service/2002172929-senaduana-freight-forwarders"/>
        <s v="https://www.chamberofcommerce.com/business-directory/florida/miami-shores/plumber/47118209-new-england-plumbing"/>
        <s v="https://www.chamberofcommerce.com/united-states/florida/miami-beach/tailor/2013081832-tailor-republic"/>
        <s v="https://www.coralgablesflorist.com/contact-us/"/>
        <s v="https://www.criteriastudios.com/contact"/>
        <s v="https://www.elioslocksmith.com/contact-form/"/>
        <s v="https://www.eliteyachtingsolutions.com/contact-us/"/>
        <s v="https://www.elreydelasfritas.com/contact"/>
        <s v="https://www.flowershopnetwork.com/floristProfile/158764"/>
        <s v="https://www.flowershopnetwork.com/floristProfile/282071"/>
        <s v="https://www.giraldacleaners.com/about/"/>
        <s v="https://www.healthgrades.com/group-directory/fl-florida/miami/kendall-medical-center-x8lgvn"/>
        <s v="https://www.healthgrades.com/group-directory/fl-florida/miami/kendall-south-medical-centre-xtjrlc"/>
        <s v="https://www.homeadvisor.com/sp/mcintyre-maintenance"/>
        <s v="https://www.jaesjewelers.com/pages/contact-us"/>
        <s v="https://www.maemusic.com/"/>
        <s v="https://www.manta.com/c/mm2vydb/marante-forwarding-co-inc"/>
        <s v="https://www.manta.com/c/mm4mtnd/a-g-insurance"/>
        <s v="https://www.manta.com/c/mm890c8/excellent-pharmacy-discount"/>
        <s v="https://www.manta.com/c/mm8c01j/ramallo-insurance-inc"/>
        <s v="https://www.manta.com/c/mmfws9t/rivas-immigration-law"/>
        <s v="https://www.manta.com/c/mr0113x/continental-trust-mortgage"/>
        <s v="https://www.manta.com/c/mtbtgz9/rocco-plumbing-inc"/>
        <s v="https://www.manta.com/c/mtq3wsd/ocean-freight-link"/>
        <s v="https://www.manta.com/c/mtqlxt4/panther-co-inc"/>
        <s v="https://www.manta.com/c/mx47hs2/floridian-pest-control"/>
        <s v="https://www.manueldiazfarms.com/contact-us/"/>
        <s v="https://www.mdist.us/contact"/>
        <s v="https://www.medleymachine.com/contact"/>
        <s v="https://www.merchantcircle.com/markon-realty-and-management1-fort-lauderdale-fl"/>
        <s v="https://www.miaminewtimes.com/location/el-yoyito-restaurant-y-cafe-6421187/"/>
        <s v="https://www.nemarojewelers.com/contact/"/>
        <s v="https://www.patientconnect365.com/MicrositeContact/Florida/Doral/33172/K__K_Dental"/>
        <s v="https://www.pawnshops.net/store/Kendale-Jewelry-and-Pawn-II/14659"/>
        <s v="https://www.pawnshops.net/store/Kings-Pawn-Shop/15974"/>
        <s v="https://www.pawnshops.net/store/Lendoiro-Jewelry-and-Pawn-Shop/8861"/>
        <s v="https://www.pinaboutique.com/directions.html"/>
        <s v="https://www.promptus.us/contact/"/>
        <s v="https://www.rplantsinc.com/contact"/>
        <s v="https://www.showmelocal.com/profile.aspx?bid=8986658"/>
        <s v="https://www.southfloridasigncompany.com/contact"/>
        <s v="https://www.sportanddanceacademy.com/contact"/>
        <s v="https://www.stefanostattoofl.com/"/>
        <s v="https://www.superpages.com/coral-gables-fl/bpp/murnor-studio-467203784"/>
        <s v="https://www.superpages.com/hollywood-fl/bpp/joans-florist-18524615"/>
        <s v="https://www.superpages.com/miami-fl/bpp/ive-been-framed-5292799"/>
        <s v="https://www.superpages.com/miami-fl/bpp/team-perfume-center-8967915"/>
        <s v="https://www.superpages.com/miami-fl/bpp/watch-repair-inc-13696555"/>
        <s v="https://www.thebluebook.com/iProView/771162/steel-works-rebar-fabricators/material-suppliers"/>
        <s v="https://www.thebluebook.com/iProView/968217/land-sea-air-cond-of-s-florida-inc/subcontractors/locations-contacts/"/>
        <s v="https://www.theinfatuation.com/miami/reviews/lauberge-restaurant"/>
        <s v="https://www.tripadvisor.com/Restaurant_Review-g34438-d34598756-Reviews-El_Exquisito-Miami_Florida.html"/>
        <s v="https://www.tripadvisor.com/Restaurant_Review-g34485-d4632141-Reviews-Chez_Madame_Johns_Restaurant-North_Miami_Florida.html"/>
        <s v="https://www.watchrepairinmiamifl.com/contact/"/>
        <s v="https://www.webuygoldnmb.com/"/>
        <s v="https://www.wedding-spot.com/venue/3621/the-temple-house/"/>
        <s v="https://www.weddingwire.com/biz/big-beat-productions-coral-springs/c9f1ea40b232cad6.html"/>
        <s v="https://www.wynwood.studio/"/>
        <s v="https://www.yasabe.com/en/miami-fl/d-692494424-eduardos-jewerly-and-watch-repair-jewelry-watches-service-repair.html"/>
        <s v="https://www.yellowpages.com/coral-gables-fl/mip/magic-tailoring-13414366"/>
        <s v="https://www.yellowpages.com/coral-gables-fl/mip/total-travel-marine-465681415"/>
        <s v="https://www.yellowpages.com/coral-springs-fl/mip/jeaneration-474699781"/>
        <s v="https://www.yellowpages.com/coral-springs-fl/upholsterers"/>
        <s v="https://www.yellowpages.com/davie-fl/million-air-conditioning-corp"/>
        <s v="https://www.yellowpages.com/davie-fl/mip/shirts-r-us-452238217"/>
        <s v="https://www.yellowpages.com/davie-fl/mip/t-d-air-conditioning-inc-467300545"/>
        <s v="https://www.yellowpages.com/doral-fl/mip/barahonas-food-distributor-547632699"/>
        <s v="https://www.yellowpages.com/doral-fl/mip/cleaners-at-doral-13465665"/>
        <s v="https://www.yellowpages.com/doral-fl/mip/warehouse-uniform-embroidery-23004351"/>
        <s v="https://www.yellowpages.com/fort-lauderdale-fl/mip/complete-yacht-care-inc-15318354"/>
        <s v="https://www.yellowpages.com/fort-lauderdale-fl/mip/deborah-james-6667899"/>
        <s v="https://www.yellowpages.com/hialeah-fl/mip/2000-cafe-inc-462536135"/>
        <s v="https://www.yellowpages.com/hialeah-fl/mip/gladys-tires-2334157"/>
        <s v="https://www.yellowpages.com/hialeah-fl/mip/global-cargo-connection-inc-28687289"/>
        <s v="https://www.yellowpages.com/hialeah-fl/mip/hialeah-bakery-and-foods-inc-516471321"/>
        <s v="https://www.yellowpages.com/hialeah-fl/mip/joes-barber-shop-16413541"/>
        <s v="https://www.yellowpages.com/hialeah-fl/mip/los-tres-conejitos-bakery-9677333"/>
        <s v="https://www.yellowpages.com/hialeah-fl/mip/medina-son-plumbing-supply-inc-480070831"/>
        <s v="https://www.yellowpages.com/hialeah-fl/mip/mi-casa-furniture-3828093"/>
        <s v="https://www.yellowpages.com/hialeah-fl/mip/the-magic-dance-studio-academy-519255494"/>
        <s v="https://www.yellowpages.com/hollywood-fl/mip/chocolada-bakery-cafe-8426628"/>
        <s v="https://www.yellowpages.com/hollywood-fl/mip/lois-alteration-shop-15593165"/>
        <s v="https://www.yellowpages.com/hollywood-fl/mip/santos-barber-shop-470291605"/>
        <s v="https://www.yellowpages.com/homestead-fl/mip/a-w-complete-lawn-care-inc-6053563"/>
        <s v="https://www.yellowpages.com/homestead-fl/mip/home-hardware-supply-inc-10768996"/>
        <s v="https://www.yellowpages.com/homestead-fl/mip/liner-growers-nursery-459005189"/>
        <s v="https://www.yellowpages.com/homestead-fl/mip/quality-growers-inc-13649572"/>
        <s v="https://www.yellowpages.com/medley-fl/mip/all-welding-and-machine-shop-inc-474064250"/>
        <s v="https://www.yellowpages.com/medley-fl/mip/gondia-machine-shop-inc-5836328"/>
        <s v="https://www.yellowpages.com/medley-fl/mip/super-diesel-truck-repair-9289623"/>
        <s v="https://www.yellowpages.com/miami-beach-fl/mip/best-dry-cleaners-shoe-repair-10199777"/>
        <s v="https://www.yellowpages.com/miami-beach-fl/mip/the-perfect-fit-tailoring-530984508"/>
        <s v="https://www.yellowpages.com/miami-fl/mip/4-u-unlimited-6865283"/>
        <s v="https://www.yellowpages.com/miami-fl/mip/brothers-produce-inc-566403749"/>
        <s v="https://www.yellowpages.com/miami-fl/plumbing-experts-inc"/>
        <s v="https://www.yellowpages.com/miami-gardens-fl/mip/fiesta-party-rentals-190357"/>
        <s v="https://www.yellowpages.com/north-miami-fl/mip/le-look-optical-inc-11109334"/>
        <s v="https://www.yellowpages.com/plantation-fl/mip/plantation-chiropractic-center-inc-467764478"/>
        <s v="https://www.yellowpages.com/pompano-beach-fl/mip/our-shop-auto-repairs-inc-454341308"/>
        <s v="https://www.yellowpages.com/sunrise-fl/mip/three-js-management-corp-451116974"/>
        <s v="https://www.yellowpages.com/west-miami-fl/mip/la-casa-de-las-guayaberas-6864106"/>
        <s v="https://www.yellowpages.com/weston-fl/mip/isabel-boutique-452277547"/>
        <s v="https://www.yellowpages.com/weston-fl/mip/marcellas-fashion-460620173"/>
        <s v="https://www.yelp.com/biz/24-hour-traffic-and-driving-school-hialeah"/>
        <s v="https://www.yelp.com/biz/42nd-street-recording-studios-fort-lauderdale-2"/>
        <s v="https://www.yelp.com/biz/a-labor-of-love-dog-grooming-salon-miami-3"/>
        <s v="https://www.yelp.com/biz/bellis-perfumes-miami-5"/>
        <s v="https://www.yelp.com/biz/bikini-brasil-miami-beach"/>
        <s v="https://www.yelp.com/biz/botanica-ache-iboru-hialeah"/>
        <s v="https://www.yelp.com/biz/botanica-ibu-kole5-hialeah"/>
        <s v="https://www.yelp.com/biz/botanica-inshe-hialeah"/>
        <s v="https://www.yelp.com/biz/botanica-olocun-hialeah"/>
        <s v="https://www.yelp.com/biz/botanica-teniola-hialeah-2"/>
        <s v="https://www.yelp.com/biz/classic-pawn-and-jewelry-fort-lauderdale"/>
        <s v="https://www.yelp.com/biz/complete-yacht-service-fort-lauderdale"/>
        <s v="https://www.yelp.com/biz/cyma-truck-repair-medley"/>
        <s v="https://www.yelp.com/biz/del-valle-jose-m-dds-pa-hialeah"/>
        <s v="https://www.yelp.com/biz/delio-photo-studio-miami-2"/>
        <s v="https://www.yelp.com/biz/diamond-venue-doral"/>
        <s v="https://www.yelp.com/biz/e-and-p-printing-miami"/>
        <s v="https://www.yelp.com/biz/elegant-parties-pompano-beach-2"/>
        <s v="https://www.yelp.com/biz/envios-2224-hialeah"/>
        <s v="https://www.yelp.com/biz/farley-veterinary-clinic-hollywood"/>
        <s v="https://www.yelp.com/biz/fast-lane-auto-repairs-pompano-beach"/>
        <s v="https://www.yelp.com/biz/felix-pardo-coral-gables"/>
        <s v="https://www.yelp.com/biz/ferrara-auto-spa-hollywood"/>
        <s v="https://www.yelp.com/biz/first-sign-pompano-beach"/>
        <s v="https://www.yelp.com/biz/florida-insurance-and-plus-hollywood"/>
        <s v="https://www.yelp.com/biz/frame-art-miami-4"/>
        <s v="https://www.yelp.com/biz/frases-and-frases-insurance-agency-hialeah"/>
        <s v="https://www.yelp.com/biz/homerun-barbershop-miami"/>
        <s v="https://www.yelp.com/biz/humbertos-shoe-luggage-repair-and-tailor-pembroke-pines"/>
        <s v="https://www.yelp.com/biz/idolls-boutique-miami-gardens"/>
        <s v="https://www.yelp.com/biz/kendale-air-conditioning-miami"/>
        <s v="https://www.yelp.com/biz/kendall-conservatory-of-music-inc-miami"/>
        <s v="https://www.yelp.com/biz/khai-les-alterations-miami-beach"/>
        <s v="https://www.yelp.com/biz/krome-auto-and-tire-homestead"/>
        <s v="https://www.yelp.com/biz/lasseter-plumbing-north-miami"/>
        <s v="https://www.yelp.com/biz/latin-cafe-2000-hialeah"/>
        <s v="https://www.yelp.com/biz/magique-hair-salon-aventura"/>
        <s v="https://www.yelp.com/biz/martin-accounting-and-tax-service-hialeah"/>
        <s v="https://www.yelp.com/biz/medallion-trees-farms-homestead"/>
        <s v="https://www.yelp.com/biz/miami-beach-chiropractic-and-rehabilitation-ctr-pa-miami"/>
        <s v="https://www.yelp.com/biz/miami-income-tax-miami"/>
        <s v="https://www.yelp.com/biz/montero-dental-center-hialeah"/>
        <s v="https://www.yelp.com/biz/music-legacies-pembroke-pines"/>
        <s v="https://www.yelp.com/biz/normans-tavern-miami-beach-4"/>
        <s v="https://www.yelp.com/biz/oasis-travel-and-tours-coral-gables"/>
        <s v="https://www.yelp.com/biz/ocho-placas-tattoos-miami"/>
        <s v="https://www.yelp.com/biz/pro-collision-center-hialeah"/>
        <s v="https://www.yelp.com/biz/rana-furniture-hialeah-3"/>
        <s v="https://www.yelp.com/biz/rubio-pharmacy-and-discount-hialeah"/>
        <s v="https://www.yelp.com/biz/s-a-marine-services-pompano-beach"/>
        <s v="https://www.yelp.com/biz/s-a-watch-repair-miami"/>
        <s v="https://www.yelp.com/biz/shoe-gallery-miami"/>
        <s v="https://www.yelp.com/biz/sudsies-dry-cleaners-miami-beach"/>
        <s v="https://www.yelp.com/biz/targa-insurance-fort-lauderdale"/>
        <s v="https://www.yelp.com/biz/tattoos-by-lou-north-miami-miami-2"/>
        <s v="https://www.yelp.com/biz/the-auto-spot-pompano-beach"/>
        <s v="https://www.yelp.com/biz/the-endowment-banquet-hall-miami-gardens"/>
        <s v="https://www.yelp.com/biz/the-guitar-nook-north-miami-beach"/>
        <s v="https://www.yelp.com/biz/tropical-pharmacy-plantation-2"/>
        <s v="https://www.yelp.com/biz/wise-choice-tutoring-center-miami"/>
        <s v="https://yachtingbliss.com/contact-us.php"/>
        <s v="https://yachtmechanicsofflorida.com/contact"/>
        <s v="mtgfunding.com"/>
        <s v="opportunity-insurance.com"/>
        <s v="orsphysicaltherapymiami.com"/>
        <s v="veterinarians.com"/>
        <s v="zaidspinerincometaxservice.com"/>
        <m/>
      </sharedItems>
    </cacheField>
    <cacheField name="Alerta" numFmtId="0">
      <sharedItems containsBlank="1" count="6">
        <s v="Coincidencia dudosa"/>
        <s v="Disuelta en Sunbiz"/>
        <s v="Duplicado"/>
        <s v="Posible cerrado"/>
        <s v="Sin datos de contacto"/>
        <m/>
      </sharedItems>
    </cacheField>
    <cacheField name="Nota contacto" numFmtId="0">
      <sharedItems containsBlank="1" count="85">
        <s v="cadena con varias sedes"/>
        <s v="cambio de marca"/>
        <s v="coincidencia dudosa con T M Import &amp; Export (otro ZIP): no se asignan datos"/>
        <s v="coincidencia dudosa entre dos entidades"/>
        <s v="confirmar dirección"/>
        <s v="confirmar línea comercial"/>
        <s v="confirmar si está dentro de Sweetwater"/>
        <s v="confirmar suite"/>
        <s v="dirección es buzón PMB"/>
        <s v="dirección omitida (posible residencia)"/>
        <s v="disuelta en Sunbiz 09/2017; dirección registrada parece residencial, omitida"/>
        <s v="dominio plantationchiropractic.com sin confirmar"/>
        <s v="dominio sin confirmar"/>
        <s v="dos direcciones"/>
        <s v="dos direcciones distintas en las fuentes"/>
        <s v="dos dominios"/>
        <s v="dos dominios (también aginsurancefl.com)"/>
        <s v="dos dominios (también visitpablo.com)"/>
        <s v="dos fichas en Yelp"/>
        <s v="dos marcas"/>
        <s v="dos páginas de Facebook"/>
        <s v="dos webs"/>
        <s v="duplicado de P025 (Medley Machine Shop &amp; Welding Service)"/>
        <s v="en Yelp como Aqua Marina Marina Road"/>
        <s v="falta teléfono"/>
        <s v="faltan dirección exacta y teléfono"/>
        <s v="faltan dirección y teléfono"/>
        <s v="fichas duplicadas"/>
        <s v="marca inconsistente"/>
        <s v="mismo negocio que Gondia Machine Shop (P027)"/>
        <s v="NAP inconsistente"/>
        <s v="no encontrado (los resultados eran de otra empresa)"/>
        <s v="no encontrado con certeza; BBB no pudo confirmar operación"/>
        <s v="no encontrado con ese nombre exacto; posible cerrado o nombre distinto"/>
        <s v="no encontrado teléfono; dirección omitida (posible residencia)"/>
        <s v="opera como Boatside Services (posible DBA)"/>
        <s v="posible cambio de nombre"/>
        <s v="posible cerrado (Yelp CLOSED en esa dirección)"/>
        <s v="posible cerrado (Yelp CLOSED; figura como Medallion Trees Farms)"/>
        <s v="posible cerrado o reabierto (Yelp CLOSED, ficha nueva en TripAdvisor)"/>
        <s v="posible cerrado: BBB indica 'out of business' en otra dirección"/>
        <s v="posible cerrado: licencia OTI revocada 04/06/2003"/>
        <s v="posible cerrado: Sunbiz INACTIVE (disuelta administrativamente 25/09/2020); web no encontrada"/>
        <s v="posible segundo dominio"/>
        <s v="probablemente tiene web; sin verificar"/>
        <s v="redes no encontradas"/>
        <s v="revisar la web a mano"/>
        <s v="sale del Bahia Mar Yachting Center"/>
        <s v="sede actual en Miramar"/>
        <s v="segunda sede en Miami Gardens"/>
        <s v="servicio móvil; dirección omitida (posible residencia)"/>
        <s v="sin dominio propio"/>
        <s v="sin redes"/>
        <s v="teléfono inconsistente"/>
        <s v="teléfono no confirmado"/>
        <s v="teléfono omitido (posible celular)"/>
        <s v="tres dominios"/>
        <s v="varias direcciones en directorios"/>
        <s v="varias sedes"/>
        <s v="varios dominios"/>
        <s v="verificar dominio"/>
        <s v="web en subdominio Wix, sin dominio propio"/>
        <s v="web no encontrada"/>
        <s v="web no encontrada en esta búsqueda"/>
        <s v="web no encontrada en esta búsqueda (el estudio previo listaba kromeauto.com)"/>
        <s v="web no encontrada; centro con licencia"/>
        <s v="web no encontrada; confirmar que sigue abierto"/>
        <s v="web no encontrada; dirección omitida (posible residencia)"/>
        <s v="web no encontrada; dirección omitida (posible residencia); teléfono de confianza media"/>
        <s v="web no encontrada; dirección postal; teléfono de confianza baja"/>
        <s v="web no encontrada; Facebook por confirmar"/>
        <s v="web no encontrada; no confundir con Florida Paving and Trucking Services LLC"/>
        <s v="web no encontrada; no confundir con HCA Kendall Hospital"/>
        <s v="web no encontrada; nombre legal Tango Paint &amp; Body Shop Inc"/>
        <s v="web no encontrada; redes de 'Original Look Auto Sales' (posible negocio relacionado)"/>
        <s v="web no encontrada; sin dirección con calle"/>
        <s v="web no encontrada; solo ZIP 33177"/>
        <s v="web no encontrada; teléfono de directorio secundario"/>
        <s v="web no encontrada; teléfono no encontrado"/>
        <s v="web no encontrada; teléfono no encontrado (solo fax)"/>
        <s v="web por verificar"/>
        <s v="web propia no encontrada"/>
        <s v="web sin verificar; muy buen candidato"/>
        <s v="web/Facebook de 4U Hair Unlimited sin confirmar que sea la misma empresa"/>
        <m/>
      </sharedItems>
    </cacheField>
    <cacheField name="Nicho" numFmtId="0">
      <sharedItems count="41">
        <s v="Agricultura y viveros"/>
        <s v="Arquitectura e ingeniería"/>
        <s v="Arte, fotografía y diseño"/>
        <s v="Automotriz"/>
        <s v="Belleza y barberías"/>
        <s v="Botánicas y artículos religiosos"/>
        <s v="Climatización y plomería"/>
        <s v="Construcción y materiales"/>
        <s v="Dental"/>
        <s v="Educación y academias"/>
        <s v="Eventos y bodas"/>
        <s v="Farmacias"/>
        <s v="Ferreterías"/>
        <s v="Fitness, deporte y recreación"/>
        <s v="Floristería"/>
        <s v="Funerarias"/>
        <s v="Hoteles y alojamiento"/>
        <s v="Imprenta y rótulos"/>
        <s v="Inmobiliario"/>
        <s v="Joyería y relojería"/>
        <s v="Legal y contable"/>
        <s v="Limpieza, jardinería y plagas"/>
        <s v="Manufactura e industria"/>
        <s v="Mascotas y veterinaria"/>
        <s v="Mayoristas y distribución"/>
        <s v="Moda y confección"/>
        <s v="Muebles y decoración"/>
        <s v="Música y entretenimiento"/>
        <s v="Náutico"/>
        <s v="Óptica"/>
        <s v="Panaderías y cafeterías"/>
        <s v="Perfumería y cosmética"/>
        <s v="Reparación y servicios técnicos"/>
        <s v="Restaurantes"/>
        <s v="Salud médica"/>
        <s v="Seguridad"/>
        <s v="Seguros y finanzas"/>
        <s v="Tatuajes"/>
        <s v="Tintorerías y lavanderías"/>
        <s v="Transporte y logística"/>
        <s v="Viajes y turismo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85">
  <r>
    <x v="0"/>
    <x v="126"/>
    <x v="7"/>
    <x v="10"/>
    <x v="1"/>
    <x v="128"/>
    <x v="2"/>
    <x v="2"/>
    <x v="1"/>
    <x v="2"/>
    <x v="13"/>
    <x v="0"/>
    <x v="205"/>
    <x v="134"/>
    <x v="13"/>
    <x v="28"/>
    <x v="2"/>
    <x v="1"/>
    <x v="1"/>
    <x v="4"/>
    <x v="3"/>
    <x v="2"/>
    <x v="1"/>
    <x v="185"/>
    <x v="145"/>
    <x v="168"/>
    <x v="128"/>
    <x v="31"/>
    <x v="23"/>
    <x v="226"/>
    <x v="75"/>
    <x v="3"/>
    <x v="42"/>
    <x v="25"/>
  </r>
  <r>
    <x v="1"/>
    <x v="244"/>
    <x v="13"/>
    <x v="10"/>
    <x v="1"/>
    <x v="88"/>
    <x v="4"/>
    <x v="2"/>
    <x v="2"/>
    <x v="2"/>
    <x v="6"/>
    <x v="1"/>
    <x v="92"/>
    <x v="127"/>
    <x v="7"/>
    <x v="47"/>
    <x v="2"/>
    <x v="1"/>
    <x v="1"/>
    <x v="4"/>
    <x v="0"/>
    <x v="3"/>
    <x v="1"/>
    <x v="216"/>
    <x v="24"/>
    <x v="168"/>
    <x v="116"/>
    <x v="31"/>
    <x v="23"/>
    <x v="192"/>
    <x v="156"/>
    <x v="5"/>
    <x v="62"/>
    <x v="7"/>
  </r>
  <r>
    <x v="2"/>
    <x v="16"/>
    <x v="13"/>
    <x v="10"/>
    <x v="1"/>
    <x v="198"/>
    <x v="4"/>
    <x v="2"/>
    <x v="1"/>
    <x v="2"/>
    <x v="13"/>
    <x v="0"/>
    <x v="246"/>
    <x v="182"/>
    <x v="19"/>
    <x v="56"/>
    <x v="2"/>
    <x v="1"/>
    <x v="0"/>
    <x v="3"/>
    <x v="1"/>
    <x v="3"/>
    <x v="1"/>
    <x v="215"/>
    <x v="180"/>
    <x v="168"/>
    <x v="128"/>
    <x v="31"/>
    <x v="23"/>
    <x v="226"/>
    <x v="195"/>
    <x v="5"/>
    <x v="62"/>
    <x v="22"/>
  </r>
  <r>
    <x v="3"/>
    <x v="108"/>
    <x v="7"/>
    <x v="10"/>
    <x v="1"/>
    <x v="70"/>
    <x v="5"/>
    <x v="3"/>
    <x v="0"/>
    <x v="2"/>
    <x v="13"/>
    <x v="0"/>
    <x v="251"/>
    <x v="32"/>
    <x v="19"/>
    <x v="30"/>
    <x v="2"/>
    <x v="1"/>
    <x v="1"/>
    <x v="4"/>
    <x v="0"/>
    <x v="0"/>
    <x v="1"/>
    <x v="263"/>
    <x v="261"/>
    <x v="168"/>
    <x v="128"/>
    <x v="31"/>
    <x v="23"/>
    <x v="226"/>
    <x v="278"/>
    <x v="3"/>
    <x v="33"/>
    <x v="6"/>
  </r>
  <r>
    <x v="4"/>
    <x v="93"/>
    <x v="10"/>
    <x v="10"/>
    <x v="1"/>
    <x v="167"/>
    <x v="1"/>
    <x v="1"/>
    <x v="1"/>
    <x v="2"/>
    <x v="12"/>
    <x v="1"/>
    <x v="81"/>
    <x v="54"/>
    <x v="19"/>
    <x v="32"/>
    <x v="2"/>
    <x v="2"/>
    <x v="1"/>
    <x v="5"/>
    <x v="0"/>
    <x v="3"/>
    <x v="1"/>
    <x v="138"/>
    <x v="7"/>
    <x v="168"/>
    <x v="128"/>
    <x v="31"/>
    <x v="23"/>
    <x v="226"/>
    <x v="85"/>
    <x v="5"/>
    <x v="71"/>
    <x v="7"/>
  </r>
  <r>
    <x v="5"/>
    <x v="166"/>
    <x v="7"/>
    <x v="10"/>
    <x v="1"/>
    <x v="125"/>
    <x v="8"/>
    <x v="5"/>
    <x v="1"/>
    <x v="2"/>
    <x v="13"/>
    <x v="0"/>
    <x v="76"/>
    <x v="117"/>
    <x v="19"/>
    <x v="12"/>
    <x v="2"/>
    <x v="2"/>
    <x v="1"/>
    <x v="5"/>
    <x v="0"/>
    <x v="3"/>
    <x v="0"/>
    <x v="166"/>
    <x v="121"/>
    <x v="168"/>
    <x v="128"/>
    <x v="31"/>
    <x v="23"/>
    <x v="226"/>
    <x v="124"/>
    <x v="3"/>
    <x v="41"/>
    <x v="39"/>
  </r>
  <r>
    <x v="6"/>
    <x v="274"/>
    <x v="13"/>
    <x v="10"/>
    <x v="1"/>
    <x v="212"/>
    <x v="8"/>
    <x v="5"/>
    <x v="1"/>
    <x v="3"/>
    <x v="13"/>
    <x v="0"/>
    <x v="79"/>
    <x v="0"/>
    <x v="16"/>
    <x v="27"/>
    <x v="2"/>
    <x v="2"/>
    <x v="1"/>
    <x v="5"/>
    <x v="0"/>
    <x v="3"/>
    <x v="1"/>
    <x v="22"/>
    <x v="146"/>
    <x v="156"/>
    <x v="128"/>
    <x v="31"/>
    <x v="23"/>
    <x v="226"/>
    <x v="8"/>
    <x v="5"/>
    <x v="84"/>
    <x v="39"/>
  </r>
  <r>
    <x v="7"/>
    <x v="50"/>
    <x v="8"/>
    <x v="10"/>
    <x v="1"/>
    <x v="59"/>
    <x v="1"/>
    <x v="1"/>
    <x v="0"/>
    <x v="3"/>
    <x v="14"/>
    <x v="1"/>
    <x v="87"/>
    <x v="76"/>
    <x v="18"/>
    <x v="41"/>
    <x v="2"/>
    <x v="2"/>
    <x v="1"/>
    <x v="5"/>
    <x v="0"/>
    <x v="3"/>
    <x v="1"/>
    <x v="24"/>
    <x v="117"/>
    <x v="29"/>
    <x v="128"/>
    <x v="31"/>
    <x v="23"/>
    <x v="45"/>
    <x v="51"/>
    <x v="5"/>
    <x v="84"/>
    <x v="7"/>
  </r>
  <r>
    <x v="8"/>
    <x v="214"/>
    <x v="7"/>
    <x v="10"/>
    <x v="1"/>
    <x v="60"/>
    <x v="1"/>
    <x v="1"/>
    <x v="0"/>
    <x v="3"/>
    <x v="6"/>
    <x v="1"/>
    <x v="41"/>
    <x v="71"/>
    <x v="19"/>
    <x v="14"/>
    <x v="2"/>
    <x v="2"/>
    <x v="1"/>
    <x v="5"/>
    <x v="0"/>
    <x v="3"/>
    <x v="1"/>
    <x v="72"/>
    <x v="115"/>
    <x v="129"/>
    <x v="96"/>
    <x v="31"/>
    <x v="23"/>
    <x v="171"/>
    <x v="6"/>
    <x v="5"/>
    <x v="84"/>
    <x v="6"/>
  </r>
  <r>
    <x v="9"/>
    <x v="9"/>
    <x v="13"/>
    <x v="10"/>
    <x v="1"/>
    <x v="90"/>
    <x v="3"/>
    <x v="2"/>
    <x v="1"/>
    <x v="3"/>
    <x v="13"/>
    <x v="0"/>
    <x v="252"/>
    <x v="109"/>
    <x v="19"/>
    <x v="56"/>
    <x v="2"/>
    <x v="1"/>
    <x v="0"/>
    <x v="3"/>
    <x v="1"/>
    <x v="3"/>
    <x v="1"/>
    <x v="225"/>
    <x v="109"/>
    <x v="1"/>
    <x v="128"/>
    <x v="31"/>
    <x v="23"/>
    <x v="226"/>
    <x v="4"/>
    <x v="5"/>
    <x v="84"/>
    <x v="22"/>
  </r>
  <r>
    <x v="10"/>
    <x v="109"/>
    <x v="13"/>
    <x v="10"/>
    <x v="1"/>
    <x v="213"/>
    <x v="8"/>
    <x v="5"/>
    <x v="1"/>
    <x v="3"/>
    <x v="13"/>
    <x v="0"/>
    <x v="91"/>
    <x v="73"/>
    <x v="17"/>
    <x v="46"/>
    <x v="2"/>
    <x v="2"/>
    <x v="1"/>
    <x v="5"/>
    <x v="0"/>
    <x v="3"/>
    <x v="1"/>
    <x v="257"/>
    <x v="139"/>
    <x v="70"/>
    <x v="128"/>
    <x v="31"/>
    <x v="23"/>
    <x v="226"/>
    <x v="14"/>
    <x v="5"/>
    <x v="84"/>
    <x v="39"/>
  </r>
  <r>
    <x v="11"/>
    <x v="107"/>
    <x v="7"/>
    <x v="10"/>
    <x v="1"/>
    <x v="163"/>
    <x v="2"/>
    <x v="2"/>
    <x v="1"/>
    <x v="4"/>
    <x v="6"/>
    <x v="1"/>
    <x v="82"/>
    <x v="84"/>
    <x v="19"/>
    <x v="36"/>
    <x v="0"/>
    <x v="1"/>
    <x v="1"/>
    <x v="2"/>
    <x v="1"/>
    <x v="3"/>
    <x v="1"/>
    <x v="4"/>
    <x v="40"/>
    <x v="168"/>
    <x v="41"/>
    <x v="31"/>
    <x v="23"/>
    <x v="92"/>
    <x v="182"/>
    <x v="5"/>
    <x v="63"/>
    <x v="30"/>
  </r>
  <r>
    <x v="12"/>
    <x v="158"/>
    <x v="7"/>
    <x v="10"/>
    <x v="1"/>
    <x v="163"/>
    <x v="2"/>
    <x v="2"/>
    <x v="3"/>
    <x v="4"/>
    <x v="3"/>
    <x v="1"/>
    <x v="88"/>
    <x v="234"/>
    <x v="19"/>
    <x v="41"/>
    <x v="0"/>
    <x v="1"/>
    <x v="0"/>
    <x v="1"/>
    <x v="2"/>
    <x v="3"/>
    <x v="1"/>
    <x v="86"/>
    <x v="114"/>
    <x v="91"/>
    <x v="87"/>
    <x v="13"/>
    <x v="23"/>
    <x v="127"/>
    <x v="184"/>
    <x v="5"/>
    <x v="80"/>
    <x v="30"/>
  </r>
  <r>
    <x v="13"/>
    <x v="252"/>
    <x v="7"/>
    <x v="10"/>
    <x v="1"/>
    <x v="23"/>
    <x v="18"/>
    <x v="15"/>
    <x v="3"/>
    <x v="2"/>
    <x v="14"/>
    <x v="1"/>
    <x v="5"/>
    <x v="266"/>
    <x v="19"/>
    <x v="56"/>
    <x v="2"/>
    <x v="1"/>
    <x v="0"/>
    <x v="3"/>
    <x v="1"/>
    <x v="3"/>
    <x v="1"/>
    <x v="73"/>
    <x v="118"/>
    <x v="168"/>
    <x v="128"/>
    <x v="31"/>
    <x v="23"/>
    <x v="197"/>
    <x v="147"/>
    <x v="5"/>
    <x v="73"/>
    <x v="3"/>
  </r>
  <r>
    <x v="14"/>
    <x v="213"/>
    <x v="7"/>
    <x v="10"/>
    <x v="1"/>
    <x v="23"/>
    <x v="18"/>
    <x v="15"/>
    <x v="2"/>
    <x v="1"/>
    <x v="6"/>
    <x v="1"/>
    <x v="60"/>
    <x v="45"/>
    <x v="19"/>
    <x v="48"/>
    <x v="1"/>
    <x v="1"/>
    <x v="0"/>
    <x v="2"/>
    <x v="1"/>
    <x v="3"/>
    <x v="1"/>
    <x v="129"/>
    <x v="28"/>
    <x v="127"/>
    <x v="103"/>
    <x v="31"/>
    <x v="23"/>
    <x v="170"/>
    <x v="257"/>
    <x v="5"/>
    <x v="84"/>
    <x v="3"/>
  </r>
  <r>
    <x v="15"/>
    <x v="234"/>
    <x v="7"/>
    <x v="10"/>
    <x v="1"/>
    <x v="125"/>
    <x v="8"/>
    <x v="5"/>
    <x v="1"/>
    <x v="4"/>
    <x v="14"/>
    <x v="1"/>
    <x v="240"/>
    <x v="119"/>
    <x v="19"/>
    <x v="56"/>
    <x v="0"/>
    <x v="2"/>
    <x v="0"/>
    <x v="2"/>
    <x v="1"/>
    <x v="3"/>
    <x v="1"/>
    <x v="254"/>
    <x v="122"/>
    <x v="136"/>
    <x v="128"/>
    <x v="31"/>
    <x v="23"/>
    <x v="184"/>
    <x v="46"/>
    <x v="5"/>
    <x v="84"/>
    <x v="39"/>
  </r>
  <r>
    <x v="16"/>
    <x v="102"/>
    <x v="7"/>
    <x v="10"/>
    <x v="1"/>
    <x v="124"/>
    <x v="8"/>
    <x v="5"/>
    <x v="1"/>
    <x v="2"/>
    <x v="13"/>
    <x v="0"/>
    <x v="29"/>
    <x v="161"/>
    <x v="19"/>
    <x v="56"/>
    <x v="2"/>
    <x v="2"/>
    <x v="0"/>
    <x v="4"/>
    <x v="1"/>
    <x v="3"/>
    <x v="1"/>
    <x v="262"/>
    <x v="0"/>
    <x v="168"/>
    <x v="128"/>
    <x v="31"/>
    <x v="23"/>
    <x v="226"/>
    <x v="181"/>
    <x v="5"/>
    <x v="75"/>
    <x v="39"/>
  </r>
  <r>
    <x v="17"/>
    <x v="165"/>
    <x v="7"/>
    <x v="10"/>
    <x v="1"/>
    <x v="69"/>
    <x v="5"/>
    <x v="3"/>
    <x v="0"/>
    <x v="2"/>
    <x v="13"/>
    <x v="0"/>
    <x v="245"/>
    <x v="27"/>
    <x v="19"/>
    <x v="56"/>
    <x v="2"/>
    <x v="1"/>
    <x v="0"/>
    <x v="3"/>
    <x v="1"/>
    <x v="3"/>
    <x v="1"/>
    <x v="33"/>
    <x v="261"/>
    <x v="168"/>
    <x v="128"/>
    <x v="31"/>
    <x v="23"/>
    <x v="226"/>
    <x v="52"/>
    <x v="4"/>
    <x v="78"/>
    <x v="24"/>
  </r>
  <r>
    <x v="18"/>
    <x v="175"/>
    <x v="7"/>
    <x v="10"/>
    <x v="1"/>
    <x v="70"/>
    <x v="5"/>
    <x v="3"/>
    <x v="1"/>
    <x v="4"/>
    <x v="6"/>
    <x v="1"/>
    <x v="48"/>
    <x v="240"/>
    <x v="19"/>
    <x v="28"/>
    <x v="0"/>
    <x v="1"/>
    <x v="1"/>
    <x v="2"/>
    <x v="1"/>
    <x v="3"/>
    <x v="1"/>
    <x v="222"/>
    <x v="143"/>
    <x v="168"/>
    <x v="90"/>
    <x v="31"/>
    <x v="23"/>
    <x v="138"/>
    <x v="185"/>
    <x v="5"/>
    <x v="63"/>
    <x v="6"/>
  </r>
  <r>
    <x v="19"/>
    <x v="163"/>
    <x v="7"/>
    <x v="10"/>
    <x v="1"/>
    <x v="172"/>
    <x v="1"/>
    <x v="1"/>
    <x v="3"/>
    <x v="2"/>
    <x v="14"/>
    <x v="1"/>
    <x v="200"/>
    <x v="129"/>
    <x v="19"/>
    <x v="56"/>
    <x v="2"/>
    <x v="2"/>
    <x v="0"/>
    <x v="4"/>
    <x v="1"/>
    <x v="3"/>
    <x v="1"/>
    <x v="61"/>
    <x v="119"/>
    <x v="168"/>
    <x v="128"/>
    <x v="31"/>
    <x v="23"/>
    <x v="131"/>
    <x v="47"/>
    <x v="5"/>
    <x v="62"/>
    <x v="6"/>
  </r>
  <r>
    <x v="20"/>
    <x v="14"/>
    <x v="7"/>
    <x v="10"/>
    <x v="1"/>
    <x v="218"/>
    <x v="4"/>
    <x v="2"/>
    <x v="1"/>
    <x v="4"/>
    <x v="6"/>
    <x v="1"/>
    <x v="136"/>
    <x v="46"/>
    <x v="19"/>
    <x v="43"/>
    <x v="0"/>
    <x v="1"/>
    <x v="0"/>
    <x v="1"/>
    <x v="2"/>
    <x v="3"/>
    <x v="1"/>
    <x v="125"/>
    <x v="70"/>
    <x v="6"/>
    <x v="9"/>
    <x v="31"/>
    <x v="23"/>
    <x v="13"/>
    <x v="9"/>
    <x v="5"/>
    <x v="84"/>
    <x v="7"/>
  </r>
  <r>
    <x v="21"/>
    <x v="206"/>
    <x v="13"/>
    <x v="10"/>
    <x v="1"/>
    <x v="214"/>
    <x v="8"/>
    <x v="5"/>
    <x v="1"/>
    <x v="4"/>
    <x v="1"/>
    <x v="1"/>
    <x v="80"/>
    <x v="150"/>
    <x v="11"/>
    <x v="30"/>
    <x v="0"/>
    <x v="2"/>
    <x v="1"/>
    <x v="3"/>
    <x v="1"/>
    <x v="3"/>
    <x v="1"/>
    <x v="241"/>
    <x v="54"/>
    <x v="124"/>
    <x v="100"/>
    <x v="21"/>
    <x v="23"/>
    <x v="226"/>
    <x v="132"/>
    <x v="5"/>
    <x v="84"/>
    <x v="39"/>
  </r>
  <r>
    <x v="22"/>
    <x v="177"/>
    <x v="13"/>
    <x v="10"/>
    <x v="1"/>
    <x v="66"/>
    <x v="5"/>
    <x v="3"/>
    <x v="1"/>
    <x v="4"/>
    <x v="5"/>
    <x v="1"/>
    <x v="44"/>
    <x v="181"/>
    <x v="19"/>
    <x v="19"/>
    <x v="0"/>
    <x v="1"/>
    <x v="1"/>
    <x v="2"/>
    <x v="1"/>
    <x v="3"/>
    <x v="1"/>
    <x v="260"/>
    <x v="133"/>
    <x v="105"/>
    <x v="61"/>
    <x v="31"/>
    <x v="15"/>
    <x v="140"/>
    <x v="61"/>
    <x v="5"/>
    <x v="84"/>
    <x v="7"/>
  </r>
  <r>
    <x v="23"/>
    <x v="20"/>
    <x v="13"/>
    <x v="10"/>
    <x v="1"/>
    <x v="90"/>
    <x v="3"/>
    <x v="2"/>
    <x v="1"/>
    <x v="4"/>
    <x v="4"/>
    <x v="1"/>
    <x v="93"/>
    <x v="82"/>
    <x v="19"/>
    <x v="50"/>
    <x v="0"/>
    <x v="1"/>
    <x v="0"/>
    <x v="1"/>
    <x v="2"/>
    <x v="3"/>
    <x v="1"/>
    <x v="227"/>
    <x v="144"/>
    <x v="11"/>
    <x v="10"/>
    <x v="31"/>
    <x v="1"/>
    <x v="226"/>
    <x v="11"/>
    <x v="5"/>
    <x v="84"/>
    <x v="22"/>
  </r>
  <r>
    <x v="24"/>
    <x v="176"/>
    <x v="13"/>
    <x v="10"/>
    <x v="1"/>
    <x v="199"/>
    <x v="4"/>
    <x v="2"/>
    <x v="1"/>
    <x v="4"/>
    <x v="14"/>
    <x v="1"/>
    <x v="135"/>
    <x v="80"/>
    <x v="19"/>
    <x v="34"/>
    <x v="0"/>
    <x v="1"/>
    <x v="1"/>
    <x v="2"/>
    <x v="1"/>
    <x v="3"/>
    <x v="1"/>
    <x v="253"/>
    <x v="141"/>
    <x v="104"/>
    <x v="128"/>
    <x v="31"/>
    <x v="23"/>
    <x v="139"/>
    <x v="136"/>
    <x v="5"/>
    <x v="29"/>
    <x v="22"/>
  </r>
  <r>
    <x v="25"/>
    <x v="205"/>
    <x v="13"/>
    <x v="10"/>
    <x v="1"/>
    <x v="129"/>
    <x v="18"/>
    <x v="15"/>
    <x v="0"/>
    <x v="1"/>
    <x v="14"/>
    <x v="1"/>
    <x v="191"/>
    <x v="253"/>
    <x v="19"/>
    <x v="52"/>
    <x v="1"/>
    <x v="1"/>
    <x v="0"/>
    <x v="2"/>
    <x v="1"/>
    <x v="3"/>
    <x v="1"/>
    <x v="11"/>
    <x v="142"/>
    <x v="123"/>
    <x v="128"/>
    <x v="31"/>
    <x v="23"/>
    <x v="166"/>
    <x v="43"/>
    <x v="5"/>
    <x v="17"/>
    <x v="22"/>
  </r>
  <r>
    <x v="26"/>
    <x v="104"/>
    <x v="13"/>
    <x v="10"/>
    <x v="1"/>
    <x v="199"/>
    <x v="4"/>
    <x v="2"/>
    <x v="3"/>
    <x v="4"/>
    <x v="14"/>
    <x v="1"/>
    <x v="240"/>
    <x v="120"/>
    <x v="19"/>
    <x v="56"/>
    <x v="0"/>
    <x v="1"/>
    <x v="0"/>
    <x v="1"/>
    <x v="3"/>
    <x v="1"/>
    <x v="1"/>
    <x v="253"/>
    <x v="106"/>
    <x v="104"/>
    <x v="128"/>
    <x v="31"/>
    <x v="23"/>
    <x v="91"/>
    <x v="196"/>
    <x v="2"/>
    <x v="22"/>
    <x v="22"/>
  </r>
  <r>
    <x v="27"/>
    <x v="248"/>
    <x v="13"/>
    <x v="10"/>
    <x v="1"/>
    <x v="177"/>
    <x v="18"/>
    <x v="15"/>
    <x v="1"/>
    <x v="4"/>
    <x v="14"/>
    <x v="1"/>
    <x v="9"/>
    <x v="103"/>
    <x v="19"/>
    <x v="56"/>
    <x v="0"/>
    <x v="1"/>
    <x v="0"/>
    <x v="1"/>
    <x v="2"/>
    <x v="3"/>
    <x v="1"/>
    <x v="258"/>
    <x v="134"/>
    <x v="146"/>
    <x v="128"/>
    <x v="31"/>
    <x v="23"/>
    <x v="195"/>
    <x v="197"/>
    <x v="5"/>
    <x v="84"/>
    <x v="3"/>
  </r>
  <r>
    <x v="28"/>
    <x v="147"/>
    <x v="13"/>
    <x v="10"/>
    <x v="1"/>
    <x v="177"/>
    <x v="18"/>
    <x v="15"/>
    <x v="3"/>
    <x v="4"/>
    <x v="14"/>
    <x v="1"/>
    <x v="247"/>
    <x v="230"/>
    <x v="19"/>
    <x v="56"/>
    <x v="0"/>
    <x v="1"/>
    <x v="0"/>
    <x v="1"/>
    <x v="2"/>
    <x v="3"/>
    <x v="1"/>
    <x v="28"/>
    <x v="178"/>
    <x v="84"/>
    <x v="128"/>
    <x v="31"/>
    <x v="23"/>
    <x v="119"/>
    <x v="41"/>
    <x v="5"/>
    <x v="84"/>
    <x v="3"/>
  </r>
  <r>
    <x v="29"/>
    <x v="56"/>
    <x v="13"/>
    <x v="10"/>
    <x v="1"/>
    <x v="177"/>
    <x v="18"/>
    <x v="15"/>
    <x v="3"/>
    <x v="2"/>
    <x v="6"/>
    <x v="1"/>
    <x v="247"/>
    <x v="204"/>
    <x v="19"/>
    <x v="56"/>
    <x v="2"/>
    <x v="1"/>
    <x v="0"/>
    <x v="3"/>
    <x v="1"/>
    <x v="3"/>
    <x v="1"/>
    <x v="0"/>
    <x v="150"/>
    <x v="168"/>
    <x v="21"/>
    <x v="31"/>
    <x v="23"/>
    <x v="50"/>
    <x v="223"/>
    <x v="5"/>
    <x v="62"/>
    <x v="3"/>
  </r>
  <r>
    <x v="30"/>
    <x v="117"/>
    <x v="13"/>
    <x v="10"/>
    <x v="1"/>
    <x v="65"/>
    <x v="5"/>
    <x v="3"/>
    <x v="1"/>
    <x v="4"/>
    <x v="10"/>
    <x v="1"/>
    <x v="190"/>
    <x v="116"/>
    <x v="19"/>
    <x v="38"/>
    <x v="0"/>
    <x v="1"/>
    <x v="1"/>
    <x v="2"/>
    <x v="1"/>
    <x v="3"/>
    <x v="1"/>
    <x v="251"/>
    <x v="96"/>
    <x v="72"/>
    <x v="128"/>
    <x v="31"/>
    <x v="10"/>
    <x v="226"/>
    <x v="37"/>
    <x v="5"/>
    <x v="84"/>
    <x v="24"/>
  </r>
  <r>
    <x v="31"/>
    <x v="18"/>
    <x v="13"/>
    <x v="10"/>
    <x v="1"/>
    <x v="68"/>
    <x v="5"/>
    <x v="3"/>
    <x v="1"/>
    <x v="3"/>
    <x v="11"/>
    <x v="1"/>
    <x v="255"/>
    <x v="38"/>
    <x v="19"/>
    <x v="56"/>
    <x v="2"/>
    <x v="1"/>
    <x v="0"/>
    <x v="3"/>
    <x v="1"/>
    <x v="3"/>
    <x v="1"/>
    <x v="228"/>
    <x v="108"/>
    <x v="7"/>
    <x v="128"/>
    <x v="31"/>
    <x v="0"/>
    <x v="16"/>
    <x v="77"/>
    <x v="5"/>
    <x v="84"/>
    <x v="7"/>
  </r>
  <r>
    <x v="32"/>
    <x v="246"/>
    <x v="13"/>
    <x v="10"/>
    <x v="1"/>
    <x v="173"/>
    <x v="3"/>
    <x v="2"/>
    <x v="1"/>
    <x v="4"/>
    <x v="4"/>
    <x v="1"/>
    <x v="83"/>
    <x v="3"/>
    <x v="19"/>
    <x v="36"/>
    <x v="0"/>
    <x v="1"/>
    <x v="1"/>
    <x v="2"/>
    <x v="1"/>
    <x v="3"/>
    <x v="1"/>
    <x v="16"/>
    <x v="68"/>
    <x v="142"/>
    <x v="114"/>
    <x v="31"/>
    <x v="20"/>
    <x v="226"/>
    <x v="5"/>
    <x v="5"/>
    <x v="84"/>
    <x v="7"/>
  </r>
  <r>
    <x v="33"/>
    <x v="65"/>
    <x v="5"/>
    <x v="10"/>
    <x v="1"/>
    <x v="126"/>
    <x v="8"/>
    <x v="5"/>
    <x v="1"/>
    <x v="4"/>
    <x v="14"/>
    <x v="1"/>
    <x v="86"/>
    <x v="118"/>
    <x v="15"/>
    <x v="39"/>
    <x v="0"/>
    <x v="2"/>
    <x v="1"/>
    <x v="3"/>
    <x v="1"/>
    <x v="3"/>
    <x v="1"/>
    <x v="17"/>
    <x v="55"/>
    <x v="39"/>
    <x v="128"/>
    <x v="31"/>
    <x v="23"/>
    <x v="1"/>
    <x v="26"/>
    <x v="5"/>
    <x v="84"/>
    <x v="39"/>
  </r>
  <r>
    <x v="34"/>
    <x v="236"/>
    <x v="5"/>
    <x v="10"/>
    <x v="1"/>
    <x v="125"/>
    <x v="8"/>
    <x v="5"/>
    <x v="1"/>
    <x v="4"/>
    <x v="14"/>
    <x v="1"/>
    <x v="89"/>
    <x v="132"/>
    <x v="19"/>
    <x v="44"/>
    <x v="0"/>
    <x v="2"/>
    <x v="0"/>
    <x v="2"/>
    <x v="1"/>
    <x v="3"/>
    <x v="1"/>
    <x v="230"/>
    <x v="38"/>
    <x v="138"/>
    <x v="128"/>
    <x v="31"/>
    <x v="23"/>
    <x v="186"/>
    <x v="108"/>
    <x v="5"/>
    <x v="84"/>
    <x v="39"/>
  </r>
  <r>
    <x v="35"/>
    <x v="49"/>
    <x v="5"/>
    <x v="10"/>
    <x v="1"/>
    <x v="125"/>
    <x v="8"/>
    <x v="5"/>
    <x v="2"/>
    <x v="4"/>
    <x v="0"/>
    <x v="1"/>
    <x v="240"/>
    <x v="106"/>
    <x v="19"/>
    <x v="56"/>
    <x v="0"/>
    <x v="2"/>
    <x v="0"/>
    <x v="2"/>
    <x v="1"/>
    <x v="3"/>
    <x v="1"/>
    <x v="203"/>
    <x v="172"/>
    <x v="28"/>
    <x v="19"/>
    <x v="31"/>
    <x v="23"/>
    <x v="226"/>
    <x v="34"/>
    <x v="5"/>
    <x v="14"/>
    <x v="39"/>
  </r>
  <r>
    <x v="36"/>
    <x v="270"/>
    <x v="5"/>
    <x v="10"/>
    <x v="1"/>
    <x v="104"/>
    <x v="5"/>
    <x v="3"/>
    <x v="2"/>
    <x v="4"/>
    <x v="13"/>
    <x v="0"/>
    <x v="78"/>
    <x v="99"/>
    <x v="8"/>
    <x v="22"/>
    <x v="0"/>
    <x v="1"/>
    <x v="1"/>
    <x v="2"/>
    <x v="1"/>
    <x v="3"/>
    <x v="1"/>
    <x v="263"/>
    <x v="261"/>
    <x v="168"/>
    <x v="128"/>
    <x v="31"/>
    <x v="23"/>
    <x v="226"/>
    <x v="278"/>
    <x v="0"/>
    <x v="2"/>
    <x v="24"/>
  </r>
  <r>
    <x v="37"/>
    <x v="24"/>
    <x v="5"/>
    <x v="10"/>
    <x v="1"/>
    <x v="67"/>
    <x v="5"/>
    <x v="3"/>
    <x v="2"/>
    <x v="4"/>
    <x v="13"/>
    <x v="0"/>
    <x v="233"/>
    <x v="69"/>
    <x v="19"/>
    <x v="56"/>
    <x v="0"/>
    <x v="1"/>
    <x v="0"/>
    <x v="1"/>
    <x v="2"/>
    <x v="3"/>
    <x v="1"/>
    <x v="94"/>
    <x v="89"/>
    <x v="16"/>
    <x v="128"/>
    <x v="31"/>
    <x v="23"/>
    <x v="226"/>
    <x v="174"/>
    <x v="5"/>
    <x v="84"/>
    <x v="24"/>
  </r>
  <r>
    <x v="38"/>
    <x v="156"/>
    <x v="5"/>
    <x v="10"/>
    <x v="1"/>
    <x v="69"/>
    <x v="5"/>
    <x v="3"/>
    <x v="1"/>
    <x v="4"/>
    <x v="14"/>
    <x v="1"/>
    <x v="233"/>
    <x v="70"/>
    <x v="19"/>
    <x v="56"/>
    <x v="0"/>
    <x v="1"/>
    <x v="0"/>
    <x v="1"/>
    <x v="2"/>
    <x v="3"/>
    <x v="1"/>
    <x v="128"/>
    <x v="59"/>
    <x v="90"/>
    <x v="128"/>
    <x v="31"/>
    <x v="23"/>
    <x v="126"/>
    <x v="32"/>
    <x v="5"/>
    <x v="84"/>
    <x v="24"/>
  </r>
  <r>
    <x v="39"/>
    <x v="129"/>
    <x v="5"/>
    <x v="10"/>
    <x v="1"/>
    <x v="50"/>
    <x v="15"/>
    <x v="12"/>
    <x v="3"/>
    <x v="4"/>
    <x v="1"/>
    <x v="1"/>
    <x v="236"/>
    <x v="85"/>
    <x v="19"/>
    <x v="56"/>
    <x v="0"/>
    <x v="2"/>
    <x v="0"/>
    <x v="2"/>
    <x v="1"/>
    <x v="3"/>
    <x v="1"/>
    <x v="119"/>
    <x v="1"/>
    <x v="80"/>
    <x v="50"/>
    <x v="12"/>
    <x v="23"/>
    <x v="226"/>
    <x v="140"/>
    <x v="5"/>
    <x v="84"/>
    <x v="8"/>
  </r>
  <r>
    <x v="40"/>
    <x v="64"/>
    <x v="5"/>
    <x v="10"/>
    <x v="1"/>
    <x v="50"/>
    <x v="15"/>
    <x v="12"/>
    <x v="3"/>
    <x v="4"/>
    <x v="6"/>
    <x v="1"/>
    <x v="236"/>
    <x v="83"/>
    <x v="19"/>
    <x v="56"/>
    <x v="0"/>
    <x v="2"/>
    <x v="0"/>
    <x v="2"/>
    <x v="1"/>
    <x v="3"/>
    <x v="1"/>
    <x v="231"/>
    <x v="155"/>
    <x v="38"/>
    <x v="28"/>
    <x v="31"/>
    <x v="23"/>
    <x v="60"/>
    <x v="25"/>
    <x v="5"/>
    <x v="84"/>
    <x v="8"/>
  </r>
  <r>
    <x v="41"/>
    <x v="37"/>
    <x v="14"/>
    <x v="0"/>
    <x v="1"/>
    <x v="135"/>
    <x v="5"/>
    <x v="3"/>
    <x v="1"/>
    <x v="4"/>
    <x v="14"/>
    <x v="1"/>
    <x v="133"/>
    <x v="59"/>
    <x v="19"/>
    <x v="31"/>
    <x v="0"/>
    <x v="1"/>
    <x v="1"/>
    <x v="2"/>
    <x v="1"/>
    <x v="3"/>
    <x v="1"/>
    <x v="103"/>
    <x v="26"/>
    <x v="21"/>
    <x v="128"/>
    <x v="31"/>
    <x v="23"/>
    <x v="35"/>
    <x v="201"/>
    <x v="5"/>
    <x v="84"/>
    <x v="24"/>
  </r>
  <r>
    <x v="42"/>
    <x v="2"/>
    <x v="14"/>
    <x v="0"/>
    <x v="1"/>
    <x v="69"/>
    <x v="5"/>
    <x v="3"/>
    <x v="3"/>
    <x v="0"/>
    <x v="14"/>
    <x v="1"/>
    <x v="247"/>
    <x v="186"/>
    <x v="19"/>
    <x v="56"/>
    <x v="0"/>
    <x v="1"/>
    <x v="0"/>
    <x v="1"/>
    <x v="2"/>
    <x v="3"/>
    <x v="1"/>
    <x v="105"/>
    <x v="87"/>
    <x v="168"/>
    <x v="128"/>
    <x v="31"/>
    <x v="23"/>
    <x v="5"/>
    <x v="200"/>
    <x v="5"/>
    <x v="83"/>
    <x v="24"/>
  </r>
  <r>
    <x v="43"/>
    <x v="79"/>
    <x v="14"/>
    <x v="0"/>
    <x v="1"/>
    <x v="135"/>
    <x v="5"/>
    <x v="3"/>
    <x v="1"/>
    <x v="4"/>
    <x v="2"/>
    <x v="1"/>
    <x v="21"/>
    <x v="14"/>
    <x v="19"/>
    <x v="56"/>
    <x v="0"/>
    <x v="1"/>
    <x v="0"/>
    <x v="1"/>
    <x v="2"/>
    <x v="3"/>
    <x v="1"/>
    <x v="154"/>
    <x v="88"/>
    <x v="51"/>
    <x v="31"/>
    <x v="7"/>
    <x v="7"/>
    <x v="73"/>
    <x v="29"/>
    <x v="5"/>
    <x v="84"/>
    <x v="24"/>
  </r>
  <r>
    <x v="44"/>
    <x v="172"/>
    <x v="14"/>
    <x v="0"/>
    <x v="1"/>
    <x v="132"/>
    <x v="5"/>
    <x v="3"/>
    <x v="1"/>
    <x v="4"/>
    <x v="6"/>
    <x v="1"/>
    <x v="57"/>
    <x v="239"/>
    <x v="19"/>
    <x v="37"/>
    <x v="0"/>
    <x v="1"/>
    <x v="1"/>
    <x v="2"/>
    <x v="1"/>
    <x v="3"/>
    <x v="1"/>
    <x v="219"/>
    <x v="140"/>
    <x v="102"/>
    <x v="60"/>
    <x v="31"/>
    <x v="23"/>
    <x v="136"/>
    <x v="135"/>
    <x v="5"/>
    <x v="84"/>
    <x v="24"/>
  </r>
  <r>
    <x v="45"/>
    <x v="72"/>
    <x v="14"/>
    <x v="4"/>
    <x v="1"/>
    <x v="182"/>
    <x v="17"/>
    <x v="14"/>
    <x v="3"/>
    <x v="4"/>
    <x v="3"/>
    <x v="1"/>
    <x v="28"/>
    <x v="86"/>
    <x v="19"/>
    <x v="23"/>
    <x v="0"/>
    <x v="0"/>
    <x v="1"/>
    <x v="1"/>
    <x v="2"/>
    <x v="3"/>
    <x v="1"/>
    <x v="79"/>
    <x v="93"/>
    <x v="49"/>
    <x v="107"/>
    <x v="22"/>
    <x v="23"/>
    <x v="67"/>
    <x v="115"/>
    <x v="5"/>
    <x v="58"/>
    <x v="33"/>
  </r>
  <r>
    <x v="46"/>
    <x v="71"/>
    <x v="14"/>
    <x v="4"/>
    <x v="1"/>
    <x v="182"/>
    <x v="17"/>
    <x v="14"/>
    <x v="3"/>
    <x v="4"/>
    <x v="6"/>
    <x v="1"/>
    <x v="106"/>
    <x v="165"/>
    <x v="19"/>
    <x v="15"/>
    <x v="0"/>
    <x v="0"/>
    <x v="1"/>
    <x v="1"/>
    <x v="2"/>
    <x v="3"/>
    <x v="1"/>
    <x v="53"/>
    <x v="91"/>
    <x v="46"/>
    <x v="32"/>
    <x v="31"/>
    <x v="23"/>
    <x v="66"/>
    <x v="159"/>
    <x v="3"/>
    <x v="39"/>
    <x v="33"/>
  </r>
  <r>
    <x v="47"/>
    <x v="131"/>
    <x v="11"/>
    <x v="10"/>
    <x v="1"/>
    <x v="102"/>
    <x v="1"/>
    <x v="1"/>
    <x v="1"/>
    <x v="4"/>
    <x v="5"/>
    <x v="1"/>
    <x v="51"/>
    <x v="58"/>
    <x v="19"/>
    <x v="29"/>
    <x v="0"/>
    <x v="2"/>
    <x v="1"/>
    <x v="3"/>
    <x v="1"/>
    <x v="3"/>
    <x v="1"/>
    <x v="20"/>
    <x v="3"/>
    <x v="78"/>
    <x v="6"/>
    <x v="31"/>
    <x v="11"/>
    <x v="106"/>
    <x v="241"/>
    <x v="5"/>
    <x v="84"/>
    <x v="6"/>
  </r>
  <r>
    <x v="48"/>
    <x v="135"/>
    <x v="11"/>
    <x v="10"/>
    <x v="1"/>
    <x v="52"/>
    <x v="15"/>
    <x v="12"/>
    <x v="1"/>
    <x v="2"/>
    <x v="5"/>
    <x v="1"/>
    <x v="234"/>
    <x v="11"/>
    <x v="19"/>
    <x v="56"/>
    <x v="2"/>
    <x v="2"/>
    <x v="0"/>
    <x v="4"/>
    <x v="1"/>
    <x v="3"/>
    <x v="1"/>
    <x v="51"/>
    <x v="37"/>
    <x v="168"/>
    <x v="48"/>
    <x v="31"/>
    <x v="12"/>
    <x v="110"/>
    <x v="120"/>
    <x v="5"/>
    <x v="81"/>
    <x v="34"/>
  </r>
  <r>
    <x v="49"/>
    <x v="134"/>
    <x v="11"/>
    <x v="10"/>
    <x v="1"/>
    <x v="52"/>
    <x v="15"/>
    <x v="12"/>
    <x v="1"/>
    <x v="2"/>
    <x v="14"/>
    <x v="1"/>
    <x v="234"/>
    <x v="10"/>
    <x v="19"/>
    <x v="56"/>
    <x v="2"/>
    <x v="2"/>
    <x v="0"/>
    <x v="4"/>
    <x v="1"/>
    <x v="3"/>
    <x v="1"/>
    <x v="13"/>
    <x v="23"/>
    <x v="168"/>
    <x v="128"/>
    <x v="31"/>
    <x v="23"/>
    <x v="109"/>
    <x v="119"/>
    <x v="5"/>
    <x v="72"/>
    <x v="34"/>
  </r>
  <r>
    <x v="50"/>
    <x v="139"/>
    <x v="10"/>
    <x v="10"/>
    <x v="1"/>
    <x v="26"/>
    <x v="18"/>
    <x v="15"/>
    <x v="1"/>
    <x v="4"/>
    <x v="14"/>
    <x v="1"/>
    <x v="134"/>
    <x v="50"/>
    <x v="19"/>
    <x v="32"/>
    <x v="0"/>
    <x v="1"/>
    <x v="1"/>
    <x v="2"/>
    <x v="1"/>
    <x v="3"/>
    <x v="1"/>
    <x v="107"/>
    <x v="9"/>
    <x v="168"/>
    <x v="128"/>
    <x v="31"/>
    <x v="23"/>
    <x v="114"/>
    <x v="244"/>
    <x v="5"/>
    <x v="64"/>
    <x v="3"/>
  </r>
  <r>
    <x v="51"/>
    <x v="220"/>
    <x v="10"/>
    <x v="10"/>
    <x v="1"/>
    <x v="219"/>
    <x v="0"/>
    <x v="0"/>
    <x v="1"/>
    <x v="4"/>
    <x v="6"/>
    <x v="1"/>
    <x v="85"/>
    <x v="87"/>
    <x v="19"/>
    <x v="37"/>
    <x v="0"/>
    <x v="0"/>
    <x v="1"/>
    <x v="1"/>
    <x v="2"/>
    <x v="3"/>
    <x v="1"/>
    <x v="62"/>
    <x v="12"/>
    <x v="134"/>
    <x v="109"/>
    <x v="31"/>
    <x v="23"/>
    <x v="175"/>
    <x v="146"/>
    <x v="5"/>
    <x v="84"/>
    <x v="0"/>
  </r>
  <r>
    <x v="52"/>
    <x v="153"/>
    <x v="10"/>
    <x v="10"/>
    <x v="1"/>
    <x v="219"/>
    <x v="0"/>
    <x v="0"/>
    <x v="3"/>
    <x v="4"/>
    <x v="6"/>
    <x v="1"/>
    <x v="241"/>
    <x v="157"/>
    <x v="19"/>
    <x v="56"/>
    <x v="0"/>
    <x v="0"/>
    <x v="0"/>
    <x v="0"/>
    <x v="2"/>
    <x v="3"/>
    <x v="1"/>
    <x v="47"/>
    <x v="185"/>
    <x v="89"/>
    <x v="86"/>
    <x v="31"/>
    <x v="23"/>
    <x v="124"/>
    <x v="193"/>
    <x v="5"/>
    <x v="84"/>
    <x v="0"/>
  </r>
  <r>
    <x v="53"/>
    <x v="164"/>
    <x v="10"/>
    <x v="10"/>
    <x v="1"/>
    <x v="219"/>
    <x v="0"/>
    <x v="0"/>
    <x v="1"/>
    <x v="4"/>
    <x v="0"/>
    <x v="1"/>
    <x v="30"/>
    <x v="162"/>
    <x v="19"/>
    <x v="56"/>
    <x v="0"/>
    <x v="0"/>
    <x v="0"/>
    <x v="0"/>
    <x v="2"/>
    <x v="3"/>
    <x v="1"/>
    <x v="124"/>
    <x v="14"/>
    <x v="96"/>
    <x v="89"/>
    <x v="31"/>
    <x v="23"/>
    <x v="226"/>
    <x v="134"/>
    <x v="5"/>
    <x v="84"/>
    <x v="0"/>
  </r>
  <r>
    <x v="54"/>
    <x v="218"/>
    <x v="10"/>
    <x v="10"/>
    <x v="1"/>
    <x v="219"/>
    <x v="0"/>
    <x v="0"/>
    <x v="1"/>
    <x v="2"/>
    <x v="0"/>
    <x v="1"/>
    <x v="30"/>
    <x v="162"/>
    <x v="19"/>
    <x v="56"/>
    <x v="2"/>
    <x v="0"/>
    <x v="0"/>
    <x v="2"/>
    <x v="1"/>
    <x v="3"/>
    <x v="1"/>
    <x v="82"/>
    <x v="10"/>
    <x v="168"/>
    <x v="105"/>
    <x v="31"/>
    <x v="23"/>
    <x v="226"/>
    <x v="194"/>
    <x v="5"/>
    <x v="81"/>
    <x v="0"/>
  </r>
  <r>
    <x v="55"/>
    <x v="174"/>
    <x v="10"/>
    <x v="10"/>
    <x v="1"/>
    <x v="219"/>
    <x v="0"/>
    <x v="0"/>
    <x v="3"/>
    <x v="4"/>
    <x v="14"/>
    <x v="1"/>
    <x v="30"/>
    <x v="162"/>
    <x v="19"/>
    <x v="56"/>
    <x v="0"/>
    <x v="0"/>
    <x v="0"/>
    <x v="0"/>
    <x v="2"/>
    <x v="3"/>
    <x v="1"/>
    <x v="131"/>
    <x v="5"/>
    <x v="103"/>
    <x v="128"/>
    <x v="31"/>
    <x v="23"/>
    <x v="137"/>
    <x v="249"/>
    <x v="3"/>
    <x v="38"/>
    <x v="0"/>
  </r>
  <r>
    <x v="56"/>
    <x v="232"/>
    <x v="10"/>
    <x v="10"/>
    <x v="1"/>
    <x v="8"/>
    <x v="0"/>
    <x v="0"/>
    <x v="3"/>
    <x v="2"/>
    <x v="13"/>
    <x v="0"/>
    <x v="35"/>
    <x v="12"/>
    <x v="19"/>
    <x v="3"/>
    <x v="2"/>
    <x v="0"/>
    <x v="1"/>
    <x v="3"/>
    <x v="1"/>
    <x v="3"/>
    <x v="1"/>
    <x v="25"/>
    <x v="8"/>
    <x v="168"/>
    <x v="128"/>
    <x v="31"/>
    <x v="23"/>
    <x v="226"/>
    <x v="84"/>
    <x v="5"/>
    <x v="62"/>
    <x v="0"/>
  </r>
  <r>
    <x v="57"/>
    <x v="247"/>
    <x v="15"/>
    <x v="10"/>
    <x v="1"/>
    <x v="208"/>
    <x v="18"/>
    <x v="15"/>
    <x v="3"/>
    <x v="4"/>
    <x v="6"/>
    <x v="1"/>
    <x v="84"/>
    <x v="264"/>
    <x v="19"/>
    <x v="36"/>
    <x v="0"/>
    <x v="1"/>
    <x v="1"/>
    <x v="2"/>
    <x v="1"/>
    <x v="3"/>
    <x v="1"/>
    <x v="207"/>
    <x v="136"/>
    <x v="145"/>
    <x v="118"/>
    <x v="31"/>
    <x v="23"/>
    <x v="194"/>
    <x v="263"/>
    <x v="5"/>
    <x v="0"/>
    <x v="38"/>
  </r>
  <r>
    <x v="58"/>
    <x v="48"/>
    <x v="6"/>
    <x v="10"/>
    <x v="0"/>
    <x v="149"/>
    <x v="18"/>
    <x v="15"/>
    <x v="1"/>
    <x v="2"/>
    <x v="6"/>
    <x v="1"/>
    <x v="77"/>
    <x v="203"/>
    <x v="5"/>
    <x v="17"/>
    <x v="2"/>
    <x v="1"/>
    <x v="1"/>
    <x v="4"/>
    <x v="0"/>
    <x v="0"/>
    <x v="1"/>
    <x v="91"/>
    <x v="199"/>
    <x v="168"/>
    <x v="79"/>
    <x v="31"/>
    <x v="23"/>
    <x v="44"/>
    <x v="222"/>
    <x v="5"/>
    <x v="62"/>
    <x v="28"/>
  </r>
  <r>
    <x v="59"/>
    <x v="249"/>
    <x v="6"/>
    <x v="10"/>
    <x v="0"/>
    <x v="155"/>
    <x v="18"/>
    <x v="15"/>
    <x v="3"/>
    <x v="2"/>
    <x v="0"/>
    <x v="1"/>
    <x v="24"/>
    <x v="44"/>
    <x v="19"/>
    <x v="33"/>
    <x v="2"/>
    <x v="1"/>
    <x v="1"/>
    <x v="4"/>
    <x v="0"/>
    <x v="3"/>
    <x v="1"/>
    <x v="101"/>
    <x v="209"/>
    <x v="168"/>
    <x v="97"/>
    <x v="31"/>
    <x v="23"/>
    <x v="226"/>
    <x v="81"/>
    <x v="5"/>
    <x v="77"/>
    <x v="28"/>
  </r>
  <r>
    <x v="60"/>
    <x v="271"/>
    <x v="6"/>
    <x v="10"/>
    <x v="0"/>
    <x v="150"/>
    <x v="18"/>
    <x v="15"/>
    <x v="3"/>
    <x v="2"/>
    <x v="13"/>
    <x v="0"/>
    <x v="25"/>
    <x v="43"/>
    <x v="19"/>
    <x v="39"/>
    <x v="2"/>
    <x v="1"/>
    <x v="1"/>
    <x v="4"/>
    <x v="0"/>
    <x v="3"/>
    <x v="1"/>
    <x v="54"/>
    <x v="261"/>
    <x v="168"/>
    <x v="128"/>
    <x v="31"/>
    <x v="23"/>
    <x v="226"/>
    <x v="79"/>
    <x v="4"/>
    <x v="79"/>
    <x v="28"/>
  </r>
  <r>
    <x v="61"/>
    <x v="47"/>
    <x v="6"/>
    <x v="10"/>
    <x v="0"/>
    <x v="147"/>
    <x v="18"/>
    <x v="15"/>
    <x v="1"/>
    <x v="2"/>
    <x v="13"/>
    <x v="0"/>
    <x v="137"/>
    <x v="135"/>
    <x v="19"/>
    <x v="46"/>
    <x v="2"/>
    <x v="1"/>
    <x v="0"/>
    <x v="3"/>
    <x v="1"/>
    <x v="3"/>
    <x v="1"/>
    <x v="199"/>
    <x v="217"/>
    <x v="168"/>
    <x v="128"/>
    <x v="31"/>
    <x v="23"/>
    <x v="226"/>
    <x v="177"/>
    <x v="5"/>
    <x v="62"/>
    <x v="28"/>
  </r>
  <r>
    <x v="62"/>
    <x v="237"/>
    <x v="6"/>
    <x v="10"/>
    <x v="0"/>
    <x v="154"/>
    <x v="18"/>
    <x v="15"/>
    <x v="1"/>
    <x v="2"/>
    <x v="14"/>
    <x v="1"/>
    <x v="23"/>
    <x v="42"/>
    <x v="19"/>
    <x v="56"/>
    <x v="2"/>
    <x v="1"/>
    <x v="0"/>
    <x v="3"/>
    <x v="3"/>
    <x v="2"/>
    <x v="1"/>
    <x v="223"/>
    <x v="236"/>
    <x v="168"/>
    <x v="128"/>
    <x v="31"/>
    <x v="23"/>
    <x v="27"/>
    <x v="105"/>
    <x v="5"/>
    <x v="35"/>
    <x v="28"/>
  </r>
  <r>
    <x v="63"/>
    <x v="240"/>
    <x v="23"/>
    <x v="10"/>
    <x v="0"/>
    <x v="152"/>
    <x v="18"/>
    <x v="15"/>
    <x v="2"/>
    <x v="2"/>
    <x v="14"/>
    <x v="1"/>
    <x v="66"/>
    <x v="263"/>
    <x v="19"/>
    <x v="54"/>
    <x v="2"/>
    <x v="1"/>
    <x v="0"/>
    <x v="3"/>
    <x v="1"/>
    <x v="3"/>
    <x v="1"/>
    <x v="64"/>
    <x v="231"/>
    <x v="168"/>
    <x v="128"/>
    <x v="31"/>
    <x v="23"/>
    <x v="188"/>
    <x v="99"/>
    <x v="5"/>
    <x v="62"/>
    <x v="28"/>
  </r>
  <r>
    <x v="64"/>
    <x v="281"/>
    <x v="6"/>
    <x v="10"/>
    <x v="0"/>
    <x v="148"/>
    <x v="18"/>
    <x v="15"/>
    <x v="3"/>
    <x v="3"/>
    <x v="6"/>
    <x v="1"/>
    <x v="15"/>
    <x v="280"/>
    <x v="19"/>
    <x v="56"/>
    <x v="2"/>
    <x v="1"/>
    <x v="0"/>
    <x v="3"/>
    <x v="1"/>
    <x v="3"/>
    <x v="1"/>
    <x v="263"/>
    <x v="241"/>
    <x v="165"/>
    <x v="98"/>
    <x v="31"/>
    <x v="23"/>
    <x v="224"/>
    <x v="272"/>
    <x v="5"/>
    <x v="50"/>
    <x v="28"/>
  </r>
  <r>
    <x v="65"/>
    <x v="146"/>
    <x v="4"/>
    <x v="10"/>
    <x v="0"/>
    <x v="102"/>
    <x v="1"/>
    <x v="1"/>
    <x v="1"/>
    <x v="2"/>
    <x v="0"/>
    <x v="1"/>
    <x v="61"/>
    <x v="97"/>
    <x v="19"/>
    <x v="48"/>
    <x v="2"/>
    <x v="2"/>
    <x v="0"/>
    <x v="4"/>
    <x v="1"/>
    <x v="3"/>
    <x v="1"/>
    <x v="42"/>
    <x v="226"/>
    <x v="168"/>
    <x v="53"/>
    <x v="31"/>
    <x v="23"/>
    <x v="226"/>
    <x v="157"/>
    <x v="5"/>
    <x v="70"/>
    <x v="6"/>
  </r>
  <r>
    <x v="66"/>
    <x v="182"/>
    <x v="4"/>
    <x v="10"/>
    <x v="0"/>
    <x v="102"/>
    <x v="1"/>
    <x v="1"/>
    <x v="0"/>
    <x v="2"/>
    <x v="13"/>
    <x v="0"/>
    <x v="90"/>
    <x v="140"/>
    <x v="2"/>
    <x v="46"/>
    <x v="2"/>
    <x v="2"/>
    <x v="0"/>
    <x v="4"/>
    <x v="1"/>
    <x v="3"/>
    <x v="1"/>
    <x v="41"/>
    <x v="204"/>
    <x v="168"/>
    <x v="128"/>
    <x v="31"/>
    <x v="23"/>
    <x v="226"/>
    <x v="171"/>
    <x v="5"/>
    <x v="69"/>
    <x v="6"/>
  </r>
  <r>
    <x v="67"/>
    <x v="89"/>
    <x v="4"/>
    <x v="10"/>
    <x v="0"/>
    <x v="103"/>
    <x v="18"/>
    <x v="15"/>
    <x v="1"/>
    <x v="1"/>
    <x v="6"/>
    <x v="1"/>
    <x v="4"/>
    <x v="41"/>
    <x v="19"/>
    <x v="56"/>
    <x v="1"/>
    <x v="1"/>
    <x v="0"/>
    <x v="2"/>
    <x v="1"/>
    <x v="3"/>
    <x v="1"/>
    <x v="168"/>
    <x v="238"/>
    <x v="168"/>
    <x v="71"/>
    <x v="31"/>
    <x v="23"/>
    <x v="81"/>
    <x v="20"/>
    <x v="3"/>
    <x v="40"/>
    <x v="6"/>
  </r>
  <r>
    <x v="68"/>
    <x v="212"/>
    <x v="23"/>
    <x v="10"/>
    <x v="0"/>
    <x v="25"/>
    <x v="18"/>
    <x v="15"/>
    <x v="3"/>
    <x v="2"/>
    <x v="14"/>
    <x v="1"/>
    <x v="26"/>
    <x v="65"/>
    <x v="19"/>
    <x v="28"/>
    <x v="2"/>
    <x v="1"/>
    <x v="1"/>
    <x v="4"/>
    <x v="0"/>
    <x v="3"/>
    <x v="1"/>
    <x v="132"/>
    <x v="251"/>
    <x v="168"/>
    <x v="128"/>
    <x v="31"/>
    <x v="23"/>
    <x v="201"/>
    <x v="98"/>
    <x v="3"/>
    <x v="37"/>
    <x v="3"/>
  </r>
  <r>
    <x v="69"/>
    <x v="204"/>
    <x v="23"/>
    <x v="10"/>
    <x v="0"/>
    <x v="24"/>
    <x v="18"/>
    <x v="15"/>
    <x v="1"/>
    <x v="3"/>
    <x v="3"/>
    <x v="1"/>
    <x v="63"/>
    <x v="67"/>
    <x v="19"/>
    <x v="49"/>
    <x v="2"/>
    <x v="1"/>
    <x v="0"/>
    <x v="3"/>
    <x v="1"/>
    <x v="3"/>
    <x v="1"/>
    <x v="237"/>
    <x v="234"/>
    <x v="168"/>
    <x v="75"/>
    <x v="20"/>
    <x v="23"/>
    <x v="165"/>
    <x v="206"/>
    <x v="5"/>
    <x v="20"/>
    <x v="3"/>
  </r>
  <r>
    <x v="70"/>
    <x v="84"/>
    <x v="23"/>
    <x v="10"/>
    <x v="0"/>
    <x v="24"/>
    <x v="18"/>
    <x v="15"/>
    <x v="3"/>
    <x v="3"/>
    <x v="6"/>
    <x v="1"/>
    <x v="239"/>
    <x v="63"/>
    <x v="19"/>
    <x v="56"/>
    <x v="2"/>
    <x v="1"/>
    <x v="0"/>
    <x v="3"/>
    <x v="1"/>
    <x v="3"/>
    <x v="1"/>
    <x v="87"/>
    <x v="252"/>
    <x v="55"/>
    <x v="35"/>
    <x v="31"/>
    <x v="23"/>
    <x v="77"/>
    <x v="231"/>
    <x v="5"/>
    <x v="61"/>
    <x v="3"/>
  </r>
  <r>
    <x v="71"/>
    <x v="258"/>
    <x v="23"/>
    <x v="10"/>
    <x v="0"/>
    <x v="24"/>
    <x v="18"/>
    <x v="15"/>
    <x v="3"/>
    <x v="4"/>
    <x v="14"/>
    <x v="1"/>
    <x v="239"/>
    <x v="66"/>
    <x v="19"/>
    <x v="56"/>
    <x v="0"/>
    <x v="1"/>
    <x v="0"/>
    <x v="1"/>
    <x v="2"/>
    <x v="3"/>
    <x v="1"/>
    <x v="137"/>
    <x v="253"/>
    <x v="12"/>
    <x v="128"/>
    <x v="31"/>
    <x v="23"/>
    <x v="202"/>
    <x v="266"/>
    <x v="5"/>
    <x v="84"/>
    <x v="3"/>
  </r>
  <r>
    <x v="72"/>
    <x v="202"/>
    <x v="23"/>
    <x v="10"/>
    <x v="0"/>
    <x v="23"/>
    <x v="18"/>
    <x v="15"/>
    <x v="3"/>
    <x v="2"/>
    <x v="6"/>
    <x v="1"/>
    <x v="239"/>
    <x v="64"/>
    <x v="19"/>
    <x v="56"/>
    <x v="2"/>
    <x v="1"/>
    <x v="0"/>
    <x v="3"/>
    <x v="1"/>
    <x v="3"/>
    <x v="1"/>
    <x v="32"/>
    <x v="210"/>
    <x v="168"/>
    <x v="74"/>
    <x v="31"/>
    <x v="23"/>
    <x v="163"/>
    <x v="97"/>
    <x v="5"/>
    <x v="74"/>
    <x v="3"/>
  </r>
  <r>
    <x v="73"/>
    <x v="168"/>
    <x v="6"/>
    <x v="10"/>
    <x v="0"/>
    <x v="145"/>
    <x v="18"/>
    <x v="15"/>
    <x v="3"/>
    <x v="4"/>
    <x v="3"/>
    <x v="1"/>
    <x v="194"/>
    <x v="101"/>
    <x v="19"/>
    <x v="56"/>
    <x v="0"/>
    <x v="1"/>
    <x v="0"/>
    <x v="1"/>
    <x v="2"/>
    <x v="3"/>
    <x v="1"/>
    <x v="136"/>
    <x v="196"/>
    <x v="98"/>
    <x v="58"/>
    <x v="15"/>
    <x v="23"/>
    <x v="18"/>
    <x v="58"/>
    <x v="5"/>
    <x v="23"/>
    <x v="28"/>
  </r>
  <r>
    <x v="74"/>
    <x v="282"/>
    <x v="23"/>
    <x v="10"/>
    <x v="0"/>
    <x v="151"/>
    <x v="18"/>
    <x v="15"/>
    <x v="3"/>
    <x v="4"/>
    <x v="6"/>
    <x v="1"/>
    <x v="194"/>
    <x v="115"/>
    <x v="19"/>
    <x v="56"/>
    <x v="0"/>
    <x v="1"/>
    <x v="0"/>
    <x v="1"/>
    <x v="2"/>
    <x v="3"/>
    <x v="1"/>
    <x v="2"/>
    <x v="233"/>
    <x v="164"/>
    <x v="99"/>
    <x v="31"/>
    <x v="23"/>
    <x v="225"/>
    <x v="271"/>
    <x v="5"/>
    <x v="84"/>
    <x v="28"/>
  </r>
  <r>
    <x v="75"/>
    <x v="76"/>
    <x v="23"/>
    <x v="10"/>
    <x v="0"/>
    <x v="153"/>
    <x v="18"/>
    <x v="15"/>
    <x v="2"/>
    <x v="4"/>
    <x v="13"/>
    <x v="0"/>
    <x v="194"/>
    <x v="111"/>
    <x v="19"/>
    <x v="56"/>
    <x v="0"/>
    <x v="1"/>
    <x v="0"/>
    <x v="1"/>
    <x v="2"/>
    <x v="3"/>
    <x v="1"/>
    <x v="263"/>
    <x v="195"/>
    <x v="48"/>
    <x v="128"/>
    <x v="31"/>
    <x v="23"/>
    <x v="226"/>
    <x v="114"/>
    <x v="5"/>
    <x v="9"/>
    <x v="28"/>
  </r>
  <r>
    <x v="76"/>
    <x v="230"/>
    <x v="23"/>
    <x v="10"/>
    <x v="0"/>
    <x v="144"/>
    <x v="1"/>
    <x v="1"/>
    <x v="2"/>
    <x v="4"/>
    <x v="6"/>
    <x v="1"/>
    <x v="27"/>
    <x v="95"/>
    <x v="19"/>
    <x v="56"/>
    <x v="0"/>
    <x v="2"/>
    <x v="0"/>
    <x v="2"/>
    <x v="1"/>
    <x v="3"/>
    <x v="1"/>
    <x v="180"/>
    <x v="169"/>
    <x v="135"/>
    <x v="111"/>
    <x v="31"/>
    <x v="23"/>
    <x v="181"/>
    <x v="260"/>
    <x v="5"/>
    <x v="84"/>
    <x v="28"/>
  </r>
  <r>
    <x v="77"/>
    <x v="13"/>
    <x v="23"/>
    <x v="10"/>
    <x v="0"/>
    <x v="146"/>
    <x v="1"/>
    <x v="1"/>
    <x v="3"/>
    <x v="4"/>
    <x v="14"/>
    <x v="1"/>
    <x v="194"/>
    <x v="123"/>
    <x v="19"/>
    <x v="56"/>
    <x v="0"/>
    <x v="2"/>
    <x v="0"/>
    <x v="2"/>
    <x v="1"/>
    <x v="3"/>
    <x v="1"/>
    <x v="147"/>
    <x v="220"/>
    <x v="99"/>
    <x v="128"/>
    <x v="31"/>
    <x v="23"/>
    <x v="12"/>
    <x v="59"/>
    <x v="5"/>
    <x v="57"/>
    <x v="28"/>
  </r>
  <r>
    <x v="78"/>
    <x v="250"/>
    <x v="4"/>
    <x v="10"/>
    <x v="0"/>
    <x v="102"/>
    <x v="1"/>
    <x v="1"/>
    <x v="1"/>
    <x v="4"/>
    <x v="7"/>
    <x v="1"/>
    <x v="198"/>
    <x v="144"/>
    <x v="19"/>
    <x v="56"/>
    <x v="0"/>
    <x v="2"/>
    <x v="0"/>
    <x v="2"/>
    <x v="1"/>
    <x v="3"/>
    <x v="1"/>
    <x v="164"/>
    <x v="197"/>
    <x v="150"/>
    <x v="128"/>
    <x v="27"/>
    <x v="23"/>
    <x v="226"/>
    <x v="173"/>
    <x v="5"/>
    <x v="84"/>
    <x v="6"/>
  </r>
  <r>
    <x v="79"/>
    <x v="55"/>
    <x v="4"/>
    <x v="10"/>
    <x v="0"/>
    <x v="102"/>
    <x v="1"/>
    <x v="1"/>
    <x v="2"/>
    <x v="4"/>
    <x v="14"/>
    <x v="1"/>
    <x v="194"/>
    <x v="107"/>
    <x v="19"/>
    <x v="56"/>
    <x v="0"/>
    <x v="2"/>
    <x v="0"/>
    <x v="2"/>
    <x v="1"/>
    <x v="3"/>
    <x v="1"/>
    <x v="30"/>
    <x v="205"/>
    <x v="32"/>
    <x v="128"/>
    <x v="31"/>
    <x v="23"/>
    <x v="49"/>
    <x v="22"/>
    <x v="5"/>
    <x v="84"/>
    <x v="6"/>
  </r>
  <r>
    <x v="80"/>
    <x v="198"/>
    <x v="18"/>
    <x v="10"/>
    <x v="0"/>
    <x v="125"/>
    <x v="8"/>
    <x v="5"/>
    <x v="3"/>
    <x v="4"/>
    <x v="13"/>
    <x v="0"/>
    <x v="196"/>
    <x v="149"/>
    <x v="5"/>
    <x v="56"/>
    <x v="0"/>
    <x v="2"/>
    <x v="0"/>
    <x v="2"/>
    <x v="1"/>
    <x v="3"/>
    <x v="1"/>
    <x v="146"/>
    <x v="207"/>
    <x v="117"/>
    <x v="128"/>
    <x v="31"/>
    <x v="23"/>
    <x v="226"/>
    <x v="131"/>
    <x v="5"/>
    <x v="45"/>
    <x v="39"/>
  </r>
  <r>
    <x v="81"/>
    <x v="216"/>
    <x v="18"/>
    <x v="10"/>
    <x v="0"/>
    <x v="125"/>
    <x v="8"/>
    <x v="5"/>
    <x v="2"/>
    <x v="4"/>
    <x v="5"/>
    <x v="1"/>
    <x v="194"/>
    <x v="130"/>
    <x v="19"/>
    <x v="56"/>
    <x v="0"/>
    <x v="2"/>
    <x v="0"/>
    <x v="2"/>
    <x v="1"/>
    <x v="3"/>
    <x v="1"/>
    <x v="160"/>
    <x v="103"/>
    <x v="128"/>
    <x v="104"/>
    <x v="31"/>
    <x v="17"/>
    <x v="173"/>
    <x v="145"/>
    <x v="5"/>
    <x v="84"/>
    <x v="39"/>
  </r>
  <r>
    <x v="82"/>
    <x v="219"/>
    <x v="18"/>
    <x v="10"/>
    <x v="0"/>
    <x v="126"/>
    <x v="8"/>
    <x v="5"/>
    <x v="1"/>
    <x v="0"/>
    <x v="13"/>
    <x v="0"/>
    <x v="194"/>
    <x v="153"/>
    <x v="19"/>
    <x v="56"/>
    <x v="0"/>
    <x v="2"/>
    <x v="0"/>
    <x v="2"/>
    <x v="3"/>
    <x v="2"/>
    <x v="1"/>
    <x v="263"/>
    <x v="261"/>
    <x v="168"/>
    <x v="128"/>
    <x v="31"/>
    <x v="23"/>
    <x v="226"/>
    <x v="69"/>
    <x v="1"/>
    <x v="10"/>
    <x v="39"/>
  </r>
  <r>
    <x v="83"/>
    <x v="120"/>
    <x v="18"/>
    <x v="10"/>
    <x v="0"/>
    <x v="123"/>
    <x v="8"/>
    <x v="5"/>
    <x v="1"/>
    <x v="0"/>
    <x v="13"/>
    <x v="0"/>
    <x v="194"/>
    <x v="145"/>
    <x v="19"/>
    <x v="56"/>
    <x v="0"/>
    <x v="2"/>
    <x v="0"/>
    <x v="2"/>
    <x v="1"/>
    <x v="3"/>
    <x v="1"/>
    <x v="263"/>
    <x v="261"/>
    <x v="168"/>
    <x v="128"/>
    <x v="31"/>
    <x v="23"/>
    <x v="226"/>
    <x v="278"/>
    <x v="4"/>
    <x v="32"/>
    <x v="39"/>
  </r>
  <r>
    <x v="84"/>
    <x v="170"/>
    <x v="24"/>
    <x v="10"/>
    <x v="0"/>
    <x v="3"/>
    <x v="11"/>
    <x v="8"/>
    <x v="1"/>
    <x v="2"/>
    <x v="11"/>
    <x v="1"/>
    <x v="199"/>
    <x v="113"/>
    <x v="8"/>
    <x v="56"/>
    <x v="2"/>
    <x v="1"/>
    <x v="1"/>
    <x v="4"/>
    <x v="0"/>
    <x v="3"/>
    <x v="1"/>
    <x v="205"/>
    <x v="222"/>
    <x v="168"/>
    <x v="128"/>
    <x v="31"/>
    <x v="14"/>
    <x v="133"/>
    <x v="137"/>
    <x v="5"/>
    <x v="62"/>
    <x v="18"/>
  </r>
  <r>
    <x v="85"/>
    <x v="267"/>
    <x v="24"/>
    <x v="10"/>
    <x v="0"/>
    <x v="3"/>
    <x v="11"/>
    <x v="8"/>
    <x v="0"/>
    <x v="2"/>
    <x v="14"/>
    <x v="1"/>
    <x v="201"/>
    <x v="158"/>
    <x v="4"/>
    <x v="56"/>
    <x v="2"/>
    <x v="1"/>
    <x v="0"/>
    <x v="3"/>
    <x v="1"/>
    <x v="3"/>
    <x v="1"/>
    <x v="263"/>
    <x v="224"/>
    <x v="168"/>
    <x v="128"/>
    <x v="31"/>
    <x v="23"/>
    <x v="212"/>
    <x v="207"/>
    <x v="5"/>
    <x v="67"/>
    <x v="18"/>
  </r>
  <r>
    <x v="86"/>
    <x v="152"/>
    <x v="24"/>
    <x v="10"/>
    <x v="0"/>
    <x v="3"/>
    <x v="11"/>
    <x v="8"/>
    <x v="1"/>
    <x v="4"/>
    <x v="0"/>
    <x v="1"/>
    <x v="204"/>
    <x v="105"/>
    <x v="6"/>
    <x v="56"/>
    <x v="0"/>
    <x v="1"/>
    <x v="0"/>
    <x v="1"/>
    <x v="2"/>
    <x v="3"/>
    <x v="1"/>
    <x v="12"/>
    <x v="225"/>
    <x v="92"/>
    <x v="85"/>
    <x v="31"/>
    <x v="23"/>
    <x v="226"/>
    <x v="101"/>
    <x v="5"/>
    <x v="8"/>
    <x v="18"/>
  </r>
  <r>
    <x v="87"/>
    <x v="283"/>
    <x v="24"/>
    <x v="10"/>
    <x v="0"/>
    <x v="3"/>
    <x v="11"/>
    <x v="8"/>
    <x v="2"/>
    <x v="4"/>
    <x v="13"/>
    <x v="0"/>
    <x v="203"/>
    <x v="100"/>
    <x v="1"/>
    <x v="56"/>
    <x v="0"/>
    <x v="1"/>
    <x v="0"/>
    <x v="1"/>
    <x v="2"/>
    <x v="3"/>
    <x v="1"/>
    <x v="155"/>
    <x v="102"/>
    <x v="166"/>
    <x v="128"/>
    <x v="31"/>
    <x v="23"/>
    <x v="226"/>
    <x v="86"/>
    <x v="5"/>
    <x v="48"/>
    <x v="18"/>
  </r>
  <r>
    <x v="88"/>
    <x v="140"/>
    <x v="24"/>
    <x v="10"/>
    <x v="0"/>
    <x v="3"/>
    <x v="11"/>
    <x v="8"/>
    <x v="2"/>
    <x v="4"/>
    <x v="13"/>
    <x v="0"/>
    <x v="194"/>
    <x v="112"/>
    <x v="19"/>
    <x v="56"/>
    <x v="0"/>
    <x v="1"/>
    <x v="0"/>
    <x v="1"/>
    <x v="2"/>
    <x v="3"/>
    <x v="1"/>
    <x v="58"/>
    <x v="235"/>
    <x v="81"/>
    <x v="128"/>
    <x v="31"/>
    <x v="23"/>
    <x v="226"/>
    <x v="106"/>
    <x v="5"/>
    <x v="52"/>
    <x v="18"/>
  </r>
  <r>
    <x v="89"/>
    <x v="148"/>
    <x v="19"/>
    <x v="10"/>
    <x v="1"/>
    <x v="172"/>
    <x v="1"/>
    <x v="1"/>
    <x v="1"/>
    <x v="4"/>
    <x v="6"/>
    <x v="1"/>
    <x v="197"/>
    <x v="160"/>
    <x v="6"/>
    <x v="56"/>
    <x v="0"/>
    <x v="2"/>
    <x v="0"/>
    <x v="2"/>
    <x v="1"/>
    <x v="3"/>
    <x v="1"/>
    <x v="245"/>
    <x v="154"/>
    <x v="85"/>
    <x v="83"/>
    <x v="31"/>
    <x v="23"/>
    <x v="120"/>
    <x v="245"/>
    <x v="5"/>
    <x v="84"/>
    <x v="6"/>
  </r>
  <r>
    <x v="90"/>
    <x v="226"/>
    <x v="19"/>
    <x v="10"/>
    <x v="1"/>
    <x v="172"/>
    <x v="1"/>
    <x v="1"/>
    <x v="1"/>
    <x v="2"/>
    <x v="13"/>
    <x v="0"/>
    <x v="202"/>
    <x v="147"/>
    <x v="19"/>
    <x v="56"/>
    <x v="2"/>
    <x v="2"/>
    <x v="0"/>
    <x v="4"/>
    <x v="1"/>
    <x v="3"/>
    <x v="1"/>
    <x v="263"/>
    <x v="173"/>
    <x v="168"/>
    <x v="128"/>
    <x v="31"/>
    <x v="23"/>
    <x v="226"/>
    <x v="130"/>
    <x v="5"/>
    <x v="68"/>
    <x v="6"/>
  </r>
  <r>
    <x v="91"/>
    <x v="162"/>
    <x v="19"/>
    <x v="10"/>
    <x v="1"/>
    <x v="172"/>
    <x v="1"/>
    <x v="1"/>
    <x v="1"/>
    <x v="4"/>
    <x v="14"/>
    <x v="1"/>
    <x v="211"/>
    <x v="146"/>
    <x v="19"/>
    <x v="56"/>
    <x v="0"/>
    <x v="2"/>
    <x v="0"/>
    <x v="2"/>
    <x v="1"/>
    <x v="3"/>
    <x v="1"/>
    <x v="167"/>
    <x v="177"/>
    <x v="95"/>
    <x v="128"/>
    <x v="31"/>
    <x v="23"/>
    <x v="130"/>
    <x v="88"/>
    <x v="5"/>
    <x v="84"/>
    <x v="6"/>
  </r>
  <r>
    <x v="92"/>
    <x v="128"/>
    <x v="19"/>
    <x v="10"/>
    <x v="1"/>
    <x v="172"/>
    <x v="1"/>
    <x v="1"/>
    <x v="3"/>
    <x v="0"/>
    <x v="13"/>
    <x v="0"/>
    <x v="194"/>
    <x v="96"/>
    <x v="19"/>
    <x v="56"/>
    <x v="0"/>
    <x v="2"/>
    <x v="0"/>
    <x v="2"/>
    <x v="1"/>
    <x v="3"/>
    <x v="1"/>
    <x v="263"/>
    <x v="261"/>
    <x v="168"/>
    <x v="128"/>
    <x v="31"/>
    <x v="23"/>
    <x v="226"/>
    <x v="278"/>
    <x v="4"/>
    <x v="31"/>
    <x v="6"/>
  </r>
  <r>
    <x v="93"/>
    <x v="211"/>
    <x v="20"/>
    <x v="10"/>
    <x v="1"/>
    <x v="172"/>
    <x v="1"/>
    <x v="1"/>
    <x v="3"/>
    <x v="2"/>
    <x v="6"/>
    <x v="1"/>
    <x v="194"/>
    <x v="155"/>
    <x v="19"/>
    <x v="56"/>
    <x v="2"/>
    <x v="2"/>
    <x v="0"/>
    <x v="4"/>
    <x v="1"/>
    <x v="3"/>
    <x v="1"/>
    <x v="100"/>
    <x v="162"/>
    <x v="168"/>
    <x v="102"/>
    <x v="31"/>
    <x v="23"/>
    <x v="2"/>
    <x v="202"/>
    <x v="5"/>
    <x v="62"/>
    <x v="6"/>
  </r>
  <r>
    <x v="94"/>
    <x v="195"/>
    <x v="17"/>
    <x v="10"/>
    <x v="1"/>
    <x v="172"/>
    <x v="1"/>
    <x v="1"/>
    <x v="3"/>
    <x v="4"/>
    <x v="6"/>
    <x v="1"/>
    <x v="194"/>
    <x v="159"/>
    <x v="19"/>
    <x v="56"/>
    <x v="0"/>
    <x v="2"/>
    <x v="0"/>
    <x v="2"/>
    <x v="1"/>
    <x v="3"/>
    <x v="1"/>
    <x v="1"/>
    <x v="132"/>
    <x v="107"/>
    <x v="64"/>
    <x v="31"/>
    <x v="23"/>
    <x v="156"/>
    <x v="109"/>
    <x v="5"/>
    <x v="84"/>
    <x v="6"/>
  </r>
  <r>
    <x v="95"/>
    <x v="171"/>
    <x v="7"/>
    <x v="10"/>
    <x v="1"/>
    <x v="58"/>
    <x v="12"/>
    <x v="9"/>
    <x v="2"/>
    <x v="3"/>
    <x v="14"/>
    <x v="1"/>
    <x v="208"/>
    <x v="128"/>
    <x v="2"/>
    <x v="45"/>
    <x v="2"/>
    <x v="2"/>
    <x v="0"/>
    <x v="4"/>
    <x v="1"/>
    <x v="3"/>
    <x v="1"/>
    <x v="229"/>
    <x v="120"/>
    <x v="101"/>
    <x v="128"/>
    <x v="31"/>
    <x v="23"/>
    <x v="135"/>
    <x v="248"/>
    <x v="5"/>
    <x v="84"/>
    <x v="20"/>
  </r>
  <r>
    <x v="96"/>
    <x v="284"/>
    <x v="7"/>
    <x v="10"/>
    <x v="1"/>
    <x v="174"/>
    <x v="12"/>
    <x v="9"/>
    <x v="3"/>
    <x v="1"/>
    <x v="7"/>
    <x v="1"/>
    <x v="218"/>
    <x v="102"/>
    <x v="19"/>
    <x v="56"/>
    <x v="1"/>
    <x v="2"/>
    <x v="0"/>
    <x v="3"/>
    <x v="1"/>
    <x v="3"/>
    <x v="1"/>
    <x v="224"/>
    <x v="113"/>
    <x v="167"/>
    <x v="128"/>
    <x v="30"/>
    <x v="23"/>
    <x v="226"/>
    <x v="277"/>
    <x v="5"/>
    <x v="21"/>
    <x v="20"/>
  </r>
  <r>
    <x v="97"/>
    <x v="256"/>
    <x v="9"/>
    <x v="10"/>
    <x v="0"/>
    <x v="57"/>
    <x v="12"/>
    <x v="9"/>
    <x v="1"/>
    <x v="3"/>
    <x v="13"/>
    <x v="0"/>
    <x v="207"/>
    <x v="133"/>
    <x v="3"/>
    <x v="43"/>
    <x v="2"/>
    <x v="2"/>
    <x v="0"/>
    <x v="4"/>
    <x v="1"/>
    <x v="3"/>
    <x v="1"/>
    <x v="114"/>
    <x v="244"/>
    <x v="149"/>
    <x v="128"/>
    <x v="31"/>
    <x v="23"/>
    <x v="226"/>
    <x v="7"/>
    <x v="5"/>
    <x v="84"/>
    <x v="20"/>
  </r>
  <r>
    <x v="98"/>
    <x v="181"/>
    <x v="11"/>
    <x v="10"/>
    <x v="1"/>
    <x v="107"/>
    <x v="12"/>
    <x v="9"/>
    <x v="0"/>
    <x v="4"/>
    <x v="14"/>
    <x v="1"/>
    <x v="176"/>
    <x v="242"/>
    <x v="19"/>
    <x v="53"/>
    <x v="0"/>
    <x v="2"/>
    <x v="0"/>
    <x v="2"/>
    <x v="1"/>
    <x v="3"/>
    <x v="1"/>
    <x v="36"/>
    <x v="186"/>
    <x v="108"/>
    <x v="128"/>
    <x v="31"/>
    <x v="23"/>
    <x v="143"/>
    <x v="251"/>
    <x v="5"/>
    <x v="84"/>
    <x v="20"/>
  </r>
  <r>
    <x v="99"/>
    <x v="225"/>
    <x v="5"/>
    <x v="10"/>
    <x v="1"/>
    <x v="42"/>
    <x v="12"/>
    <x v="9"/>
    <x v="2"/>
    <x v="1"/>
    <x v="13"/>
    <x v="0"/>
    <x v="210"/>
    <x v="131"/>
    <x v="0"/>
    <x v="38"/>
    <x v="1"/>
    <x v="2"/>
    <x v="1"/>
    <x v="4"/>
    <x v="0"/>
    <x v="3"/>
    <x v="1"/>
    <x v="239"/>
    <x v="166"/>
    <x v="133"/>
    <x v="128"/>
    <x v="31"/>
    <x v="23"/>
    <x v="226"/>
    <x v="128"/>
    <x v="5"/>
    <x v="13"/>
    <x v="20"/>
  </r>
  <r>
    <x v="100"/>
    <x v="85"/>
    <x v="1"/>
    <x v="10"/>
    <x v="1"/>
    <x v="12"/>
    <x v="12"/>
    <x v="9"/>
    <x v="1"/>
    <x v="1"/>
    <x v="14"/>
    <x v="1"/>
    <x v="206"/>
    <x v="143"/>
    <x v="19"/>
    <x v="34"/>
    <x v="1"/>
    <x v="2"/>
    <x v="1"/>
    <x v="4"/>
    <x v="0"/>
    <x v="3"/>
    <x v="1"/>
    <x v="117"/>
    <x v="48"/>
    <x v="60"/>
    <x v="128"/>
    <x v="31"/>
    <x v="23"/>
    <x v="78"/>
    <x v="232"/>
    <x v="5"/>
    <x v="84"/>
    <x v="1"/>
  </r>
  <r>
    <x v="101"/>
    <x v="96"/>
    <x v="1"/>
    <x v="10"/>
    <x v="1"/>
    <x v="11"/>
    <x v="12"/>
    <x v="9"/>
    <x v="1"/>
    <x v="4"/>
    <x v="8"/>
    <x v="1"/>
    <x v="151"/>
    <x v="137"/>
    <x v="8"/>
    <x v="26"/>
    <x v="0"/>
    <x v="2"/>
    <x v="1"/>
    <x v="3"/>
    <x v="1"/>
    <x v="3"/>
    <x v="1"/>
    <x v="172"/>
    <x v="50"/>
    <x v="54"/>
    <x v="128"/>
    <x v="8"/>
    <x v="9"/>
    <x v="86"/>
    <x v="2"/>
    <x v="5"/>
    <x v="84"/>
    <x v="1"/>
  </r>
  <r>
    <x v="102"/>
    <x v="4"/>
    <x v="7"/>
    <x v="10"/>
    <x v="1"/>
    <x v="54"/>
    <x v="12"/>
    <x v="9"/>
    <x v="1"/>
    <x v="1"/>
    <x v="3"/>
    <x v="1"/>
    <x v="213"/>
    <x v="110"/>
    <x v="19"/>
    <x v="42"/>
    <x v="1"/>
    <x v="2"/>
    <x v="0"/>
    <x v="3"/>
    <x v="1"/>
    <x v="3"/>
    <x v="1"/>
    <x v="209"/>
    <x v="179"/>
    <x v="2"/>
    <x v="5"/>
    <x v="0"/>
    <x v="23"/>
    <x v="217"/>
    <x v="276"/>
    <x v="5"/>
    <x v="36"/>
    <x v="23"/>
  </r>
  <r>
    <x v="103"/>
    <x v="83"/>
    <x v="9"/>
    <x v="10"/>
    <x v="0"/>
    <x v="53"/>
    <x v="12"/>
    <x v="9"/>
    <x v="3"/>
    <x v="2"/>
    <x v="14"/>
    <x v="1"/>
    <x v="148"/>
    <x v="148"/>
    <x v="19"/>
    <x v="23"/>
    <x v="2"/>
    <x v="2"/>
    <x v="1"/>
    <x v="5"/>
    <x v="0"/>
    <x v="3"/>
    <x v="1"/>
    <x v="204"/>
    <x v="260"/>
    <x v="168"/>
    <x v="128"/>
    <x v="31"/>
    <x v="23"/>
    <x v="76"/>
    <x v="230"/>
    <x v="5"/>
    <x v="62"/>
    <x v="23"/>
  </r>
  <r>
    <x v="104"/>
    <x v="185"/>
    <x v="7"/>
    <x v="10"/>
    <x v="1"/>
    <x v="51"/>
    <x v="15"/>
    <x v="12"/>
    <x v="1"/>
    <x v="2"/>
    <x v="14"/>
    <x v="1"/>
    <x v="209"/>
    <x v="156"/>
    <x v="19"/>
    <x v="48"/>
    <x v="2"/>
    <x v="2"/>
    <x v="0"/>
    <x v="4"/>
    <x v="1"/>
    <x v="3"/>
    <x v="1"/>
    <x v="193"/>
    <x v="135"/>
    <x v="168"/>
    <x v="128"/>
    <x v="31"/>
    <x v="23"/>
    <x v="146"/>
    <x v="252"/>
    <x v="5"/>
    <x v="62"/>
    <x v="8"/>
  </r>
  <r>
    <x v="105"/>
    <x v="127"/>
    <x v="7"/>
    <x v="10"/>
    <x v="1"/>
    <x v="56"/>
    <x v="15"/>
    <x v="12"/>
    <x v="3"/>
    <x v="2"/>
    <x v="14"/>
    <x v="1"/>
    <x v="34"/>
    <x v="122"/>
    <x v="19"/>
    <x v="56"/>
    <x v="2"/>
    <x v="2"/>
    <x v="0"/>
    <x v="4"/>
    <x v="1"/>
    <x v="3"/>
    <x v="1"/>
    <x v="159"/>
    <x v="67"/>
    <x v="168"/>
    <x v="128"/>
    <x v="31"/>
    <x v="23"/>
    <x v="53"/>
    <x v="224"/>
    <x v="5"/>
    <x v="62"/>
    <x v="8"/>
  </r>
  <r>
    <x v="106"/>
    <x v="21"/>
    <x v="0"/>
    <x v="10"/>
    <x v="1"/>
    <x v="156"/>
    <x v="15"/>
    <x v="12"/>
    <x v="3"/>
    <x v="4"/>
    <x v="3"/>
    <x v="1"/>
    <x v="0"/>
    <x v="98"/>
    <x v="10"/>
    <x v="31"/>
    <x v="0"/>
    <x v="2"/>
    <x v="1"/>
    <x v="3"/>
    <x v="1"/>
    <x v="3"/>
    <x v="1"/>
    <x v="85"/>
    <x v="101"/>
    <x v="13"/>
    <x v="11"/>
    <x v="2"/>
    <x v="23"/>
    <x v="19"/>
    <x v="1"/>
    <x v="5"/>
    <x v="84"/>
    <x v="8"/>
  </r>
  <r>
    <x v="107"/>
    <x v="86"/>
    <x v="7"/>
    <x v="10"/>
    <x v="1"/>
    <x v="136"/>
    <x v="15"/>
    <x v="12"/>
    <x v="1"/>
    <x v="1"/>
    <x v="13"/>
    <x v="0"/>
    <x v="172"/>
    <x v="108"/>
    <x v="4"/>
    <x v="52"/>
    <x v="1"/>
    <x v="2"/>
    <x v="0"/>
    <x v="3"/>
    <x v="1"/>
    <x v="3"/>
    <x v="1"/>
    <x v="145"/>
    <x v="15"/>
    <x v="40"/>
    <x v="128"/>
    <x v="31"/>
    <x v="23"/>
    <x v="226"/>
    <x v="3"/>
    <x v="5"/>
    <x v="84"/>
    <x v="34"/>
  </r>
  <r>
    <x v="108"/>
    <x v="19"/>
    <x v="5"/>
    <x v="10"/>
    <x v="1"/>
    <x v="137"/>
    <x v="15"/>
    <x v="12"/>
    <x v="1"/>
    <x v="3"/>
    <x v="1"/>
    <x v="1"/>
    <x v="169"/>
    <x v="142"/>
    <x v="4"/>
    <x v="50"/>
    <x v="2"/>
    <x v="2"/>
    <x v="0"/>
    <x v="4"/>
    <x v="1"/>
    <x v="3"/>
    <x v="1"/>
    <x v="240"/>
    <x v="76"/>
    <x v="10"/>
    <x v="76"/>
    <x v="1"/>
    <x v="23"/>
    <x v="226"/>
    <x v="0"/>
    <x v="5"/>
    <x v="49"/>
    <x v="34"/>
  </r>
  <r>
    <x v="109"/>
    <x v="203"/>
    <x v="11"/>
    <x v="10"/>
    <x v="1"/>
    <x v="93"/>
    <x v="15"/>
    <x v="12"/>
    <x v="1"/>
    <x v="4"/>
    <x v="11"/>
    <x v="1"/>
    <x v="150"/>
    <x v="138"/>
    <x v="9"/>
    <x v="26"/>
    <x v="0"/>
    <x v="2"/>
    <x v="1"/>
    <x v="3"/>
    <x v="1"/>
    <x v="3"/>
    <x v="1"/>
    <x v="246"/>
    <x v="77"/>
    <x v="122"/>
    <x v="128"/>
    <x v="31"/>
    <x v="16"/>
    <x v="164"/>
    <x v="275"/>
    <x v="5"/>
    <x v="84"/>
    <x v="34"/>
  </r>
  <r>
    <x v="110"/>
    <x v="210"/>
    <x v="22"/>
    <x v="10"/>
    <x v="0"/>
    <x v="175"/>
    <x v="15"/>
    <x v="12"/>
    <x v="1"/>
    <x v="1"/>
    <x v="6"/>
    <x v="1"/>
    <x v="153"/>
    <x v="184"/>
    <x v="19"/>
    <x v="29"/>
    <x v="1"/>
    <x v="2"/>
    <x v="1"/>
    <x v="4"/>
    <x v="0"/>
    <x v="3"/>
    <x v="1"/>
    <x v="221"/>
    <x v="237"/>
    <x v="168"/>
    <x v="95"/>
    <x v="31"/>
    <x v="23"/>
    <x v="215"/>
    <x v="205"/>
    <x v="5"/>
    <x v="11"/>
    <x v="34"/>
  </r>
  <r>
    <x v="111"/>
    <x v="180"/>
    <x v="14"/>
    <x v="10"/>
    <x v="1"/>
    <x v="176"/>
    <x v="15"/>
    <x v="12"/>
    <x v="3"/>
    <x v="1"/>
    <x v="6"/>
    <x v="1"/>
    <x v="157"/>
    <x v="114"/>
    <x v="2"/>
    <x v="35"/>
    <x v="1"/>
    <x v="2"/>
    <x v="1"/>
    <x v="4"/>
    <x v="0"/>
    <x v="3"/>
    <x v="1"/>
    <x v="90"/>
    <x v="46"/>
    <x v="168"/>
    <x v="63"/>
    <x v="31"/>
    <x v="23"/>
    <x v="142"/>
    <x v="250"/>
    <x v="5"/>
    <x v="62"/>
    <x v="34"/>
  </r>
  <r>
    <x v="112"/>
    <x v="228"/>
    <x v="7"/>
    <x v="10"/>
    <x v="1"/>
    <x v="91"/>
    <x v="15"/>
    <x v="12"/>
    <x v="1"/>
    <x v="2"/>
    <x v="6"/>
    <x v="1"/>
    <x v="171"/>
    <x v="151"/>
    <x v="19"/>
    <x v="51"/>
    <x v="2"/>
    <x v="2"/>
    <x v="0"/>
    <x v="4"/>
    <x v="1"/>
    <x v="3"/>
    <x v="1"/>
    <x v="83"/>
    <x v="41"/>
    <x v="168"/>
    <x v="110"/>
    <x v="31"/>
    <x v="23"/>
    <x v="180"/>
    <x v="259"/>
    <x v="5"/>
    <x v="62"/>
    <x v="11"/>
  </r>
  <r>
    <x v="113"/>
    <x v="273"/>
    <x v="22"/>
    <x v="10"/>
    <x v="0"/>
    <x v="91"/>
    <x v="15"/>
    <x v="12"/>
    <x v="1"/>
    <x v="2"/>
    <x v="14"/>
    <x v="1"/>
    <x v="166"/>
    <x v="154"/>
    <x v="19"/>
    <x v="48"/>
    <x v="2"/>
    <x v="2"/>
    <x v="0"/>
    <x v="4"/>
    <x v="1"/>
    <x v="3"/>
    <x v="1"/>
    <x v="202"/>
    <x v="232"/>
    <x v="168"/>
    <x v="128"/>
    <x v="31"/>
    <x v="23"/>
    <x v="216"/>
    <x v="269"/>
    <x v="5"/>
    <x v="62"/>
    <x v="11"/>
  </r>
  <r>
    <x v="114"/>
    <x v="80"/>
    <x v="11"/>
    <x v="10"/>
    <x v="1"/>
    <x v="91"/>
    <x v="15"/>
    <x v="12"/>
    <x v="3"/>
    <x v="1"/>
    <x v="13"/>
    <x v="0"/>
    <x v="167"/>
    <x v="124"/>
    <x v="3"/>
    <x v="49"/>
    <x v="1"/>
    <x v="2"/>
    <x v="0"/>
    <x v="3"/>
    <x v="1"/>
    <x v="3"/>
    <x v="1"/>
    <x v="261"/>
    <x v="22"/>
    <x v="168"/>
    <x v="128"/>
    <x v="31"/>
    <x v="23"/>
    <x v="226"/>
    <x v="126"/>
    <x v="5"/>
    <x v="4"/>
    <x v="11"/>
  </r>
  <r>
    <x v="115"/>
    <x v="98"/>
    <x v="7"/>
    <x v="10"/>
    <x v="1"/>
    <x v="5"/>
    <x v="10"/>
    <x v="7"/>
    <x v="1"/>
    <x v="2"/>
    <x v="14"/>
    <x v="1"/>
    <x v="227"/>
    <x v="136"/>
    <x v="2"/>
    <x v="20"/>
    <x v="2"/>
    <x v="2"/>
    <x v="1"/>
    <x v="5"/>
    <x v="0"/>
    <x v="3"/>
    <x v="1"/>
    <x v="196"/>
    <x v="71"/>
    <x v="168"/>
    <x v="128"/>
    <x v="31"/>
    <x v="23"/>
    <x v="88"/>
    <x v="237"/>
    <x v="5"/>
    <x v="62"/>
    <x v="36"/>
  </r>
  <r>
    <x v="116"/>
    <x v="5"/>
    <x v="7"/>
    <x v="10"/>
    <x v="1"/>
    <x v="5"/>
    <x v="10"/>
    <x v="7"/>
    <x v="1"/>
    <x v="1"/>
    <x v="14"/>
    <x v="1"/>
    <x v="156"/>
    <x v="121"/>
    <x v="4"/>
    <x v="34"/>
    <x v="1"/>
    <x v="2"/>
    <x v="1"/>
    <x v="4"/>
    <x v="0"/>
    <x v="3"/>
    <x v="1"/>
    <x v="84"/>
    <x v="66"/>
    <x v="3"/>
    <x v="128"/>
    <x v="31"/>
    <x v="23"/>
    <x v="8"/>
    <x v="125"/>
    <x v="5"/>
    <x v="16"/>
    <x v="36"/>
  </r>
  <r>
    <x v="117"/>
    <x v="51"/>
    <x v="7"/>
    <x v="10"/>
    <x v="1"/>
    <x v="4"/>
    <x v="10"/>
    <x v="7"/>
    <x v="2"/>
    <x v="2"/>
    <x v="13"/>
    <x v="0"/>
    <x v="33"/>
    <x v="47"/>
    <x v="19"/>
    <x v="50"/>
    <x v="2"/>
    <x v="2"/>
    <x v="0"/>
    <x v="4"/>
    <x v="1"/>
    <x v="3"/>
    <x v="1"/>
    <x v="158"/>
    <x v="124"/>
    <x v="168"/>
    <x v="128"/>
    <x v="31"/>
    <x v="23"/>
    <x v="226"/>
    <x v="82"/>
    <x v="5"/>
    <x v="62"/>
    <x v="36"/>
  </r>
  <r>
    <x v="118"/>
    <x v="201"/>
    <x v="7"/>
    <x v="10"/>
    <x v="1"/>
    <x v="4"/>
    <x v="10"/>
    <x v="7"/>
    <x v="1"/>
    <x v="1"/>
    <x v="9"/>
    <x v="1"/>
    <x v="178"/>
    <x v="48"/>
    <x v="19"/>
    <x v="55"/>
    <x v="1"/>
    <x v="2"/>
    <x v="0"/>
    <x v="3"/>
    <x v="1"/>
    <x v="3"/>
    <x v="1"/>
    <x v="157"/>
    <x v="191"/>
    <x v="120"/>
    <x v="128"/>
    <x v="19"/>
    <x v="23"/>
    <x v="161"/>
    <x v="274"/>
    <x v="5"/>
    <x v="56"/>
    <x v="36"/>
  </r>
  <r>
    <x v="119"/>
    <x v="221"/>
    <x v="14"/>
    <x v="10"/>
    <x v="1"/>
    <x v="4"/>
    <x v="10"/>
    <x v="7"/>
    <x v="1"/>
    <x v="1"/>
    <x v="14"/>
    <x v="1"/>
    <x v="232"/>
    <x v="125"/>
    <x v="19"/>
    <x v="56"/>
    <x v="1"/>
    <x v="2"/>
    <x v="0"/>
    <x v="3"/>
    <x v="1"/>
    <x v="3"/>
    <x v="1"/>
    <x v="118"/>
    <x v="95"/>
    <x v="168"/>
    <x v="128"/>
    <x v="31"/>
    <x v="23"/>
    <x v="176"/>
    <x v="127"/>
    <x v="0"/>
    <x v="3"/>
    <x v="36"/>
  </r>
  <r>
    <x v="120"/>
    <x v="253"/>
    <x v="6"/>
    <x v="10"/>
    <x v="0"/>
    <x v="4"/>
    <x v="10"/>
    <x v="7"/>
    <x v="1"/>
    <x v="2"/>
    <x v="14"/>
    <x v="1"/>
    <x v="164"/>
    <x v="104"/>
    <x v="2"/>
    <x v="47"/>
    <x v="2"/>
    <x v="2"/>
    <x v="0"/>
    <x v="4"/>
    <x v="1"/>
    <x v="3"/>
    <x v="1"/>
    <x v="163"/>
    <x v="200"/>
    <x v="168"/>
    <x v="128"/>
    <x v="31"/>
    <x v="23"/>
    <x v="198"/>
    <x v="264"/>
    <x v="5"/>
    <x v="62"/>
    <x v="36"/>
  </r>
  <r>
    <x v="121"/>
    <x v="92"/>
    <x v="9"/>
    <x v="10"/>
    <x v="0"/>
    <x v="4"/>
    <x v="10"/>
    <x v="7"/>
    <x v="2"/>
    <x v="1"/>
    <x v="6"/>
    <x v="1"/>
    <x v="174"/>
    <x v="152"/>
    <x v="19"/>
    <x v="52"/>
    <x v="1"/>
    <x v="2"/>
    <x v="0"/>
    <x v="3"/>
    <x v="1"/>
    <x v="3"/>
    <x v="1"/>
    <x v="140"/>
    <x v="221"/>
    <x v="168"/>
    <x v="1"/>
    <x v="31"/>
    <x v="23"/>
    <x v="83"/>
    <x v="235"/>
    <x v="5"/>
    <x v="62"/>
    <x v="36"/>
  </r>
  <r>
    <x v="122"/>
    <x v="17"/>
    <x v="15"/>
    <x v="10"/>
    <x v="1"/>
    <x v="197"/>
    <x v="10"/>
    <x v="7"/>
    <x v="1"/>
    <x v="1"/>
    <x v="6"/>
    <x v="1"/>
    <x v="64"/>
    <x v="55"/>
    <x v="2"/>
    <x v="51"/>
    <x v="1"/>
    <x v="2"/>
    <x v="0"/>
    <x v="3"/>
    <x v="1"/>
    <x v="3"/>
    <x v="1"/>
    <x v="220"/>
    <x v="137"/>
    <x v="25"/>
    <x v="18"/>
    <x v="31"/>
    <x v="23"/>
    <x v="15"/>
    <x v="87"/>
    <x v="5"/>
    <x v="84"/>
    <x v="36"/>
  </r>
  <r>
    <x v="123"/>
    <x v="52"/>
    <x v="5"/>
    <x v="10"/>
    <x v="1"/>
    <x v="41"/>
    <x v="10"/>
    <x v="7"/>
    <x v="3"/>
    <x v="2"/>
    <x v="14"/>
    <x v="1"/>
    <x v="170"/>
    <x v="141"/>
    <x v="12"/>
    <x v="51"/>
    <x v="2"/>
    <x v="2"/>
    <x v="1"/>
    <x v="5"/>
    <x v="0"/>
    <x v="3"/>
    <x v="1"/>
    <x v="243"/>
    <x v="73"/>
    <x v="168"/>
    <x v="128"/>
    <x v="31"/>
    <x v="23"/>
    <x v="46"/>
    <x v="129"/>
    <x v="5"/>
    <x v="62"/>
    <x v="36"/>
  </r>
  <r>
    <x v="124"/>
    <x v="187"/>
    <x v="22"/>
    <x v="10"/>
    <x v="0"/>
    <x v="41"/>
    <x v="10"/>
    <x v="7"/>
    <x v="1"/>
    <x v="1"/>
    <x v="14"/>
    <x v="1"/>
    <x v="160"/>
    <x v="126"/>
    <x v="5"/>
    <x v="37"/>
    <x v="1"/>
    <x v="2"/>
    <x v="1"/>
    <x v="4"/>
    <x v="0"/>
    <x v="3"/>
    <x v="1"/>
    <x v="244"/>
    <x v="223"/>
    <x v="112"/>
    <x v="128"/>
    <x v="31"/>
    <x v="23"/>
    <x v="148"/>
    <x v="273"/>
    <x v="5"/>
    <x v="84"/>
    <x v="36"/>
  </r>
  <r>
    <x v="125"/>
    <x v="78"/>
    <x v="7"/>
    <x v="10"/>
    <x v="1"/>
    <x v="76"/>
    <x v="10"/>
    <x v="7"/>
    <x v="1"/>
    <x v="1"/>
    <x v="11"/>
    <x v="1"/>
    <x v="149"/>
    <x v="139"/>
    <x v="19"/>
    <x v="26"/>
    <x v="1"/>
    <x v="2"/>
    <x v="1"/>
    <x v="4"/>
    <x v="0"/>
    <x v="3"/>
    <x v="1"/>
    <x v="135"/>
    <x v="148"/>
    <x v="168"/>
    <x v="128"/>
    <x v="31"/>
    <x v="6"/>
    <x v="72"/>
    <x v="229"/>
    <x v="5"/>
    <x v="62"/>
    <x v="36"/>
  </r>
  <r>
    <x v="126"/>
    <x v="73"/>
    <x v="7"/>
    <x v="10"/>
    <x v="1"/>
    <x v="45"/>
    <x v="17"/>
    <x v="14"/>
    <x v="3"/>
    <x v="2"/>
    <x v="6"/>
    <x v="1"/>
    <x v="212"/>
    <x v="214"/>
    <x v="19"/>
    <x v="56"/>
    <x v="2"/>
    <x v="0"/>
    <x v="0"/>
    <x v="2"/>
    <x v="1"/>
    <x v="3"/>
    <x v="1"/>
    <x v="186"/>
    <x v="163"/>
    <x v="168"/>
    <x v="0"/>
    <x v="31"/>
    <x v="23"/>
    <x v="68"/>
    <x v="138"/>
    <x v="5"/>
    <x v="62"/>
    <x v="30"/>
  </r>
  <r>
    <x v="127"/>
    <x v="0"/>
    <x v="7"/>
    <x v="10"/>
    <x v="1"/>
    <x v="44"/>
    <x v="17"/>
    <x v="14"/>
    <x v="1"/>
    <x v="2"/>
    <x v="14"/>
    <x v="1"/>
    <x v="31"/>
    <x v="180"/>
    <x v="19"/>
    <x v="56"/>
    <x v="2"/>
    <x v="0"/>
    <x v="0"/>
    <x v="2"/>
    <x v="1"/>
    <x v="3"/>
    <x v="1"/>
    <x v="187"/>
    <x v="123"/>
    <x v="168"/>
    <x v="128"/>
    <x v="31"/>
    <x v="23"/>
    <x v="3"/>
    <x v="179"/>
    <x v="5"/>
    <x v="62"/>
    <x v="30"/>
  </r>
  <r>
    <x v="128"/>
    <x v="149"/>
    <x v="7"/>
    <x v="10"/>
    <x v="1"/>
    <x v="183"/>
    <x v="17"/>
    <x v="14"/>
    <x v="3"/>
    <x v="0"/>
    <x v="14"/>
    <x v="1"/>
    <x v="124"/>
    <x v="231"/>
    <x v="19"/>
    <x v="56"/>
    <x v="0"/>
    <x v="0"/>
    <x v="0"/>
    <x v="0"/>
    <x v="2"/>
    <x v="3"/>
    <x v="1"/>
    <x v="19"/>
    <x v="112"/>
    <x v="168"/>
    <x v="128"/>
    <x v="31"/>
    <x v="23"/>
    <x v="121"/>
    <x v="246"/>
    <x v="5"/>
    <x v="84"/>
    <x v="33"/>
  </r>
  <r>
    <x v="129"/>
    <x v="263"/>
    <x v="14"/>
    <x v="4"/>
    <x v="1"/>
    <x v="28"/>
    <x v="18"/>
    <x v="15"/>
    <x v="2"/>
    <x v="2"/>
    <x v="14"/>
    <x v="1"/>
    <x v="229"/>
    <x v="271"/>
    <x v="19"/>
    <x v="56"/>
    <x v="2"/>
    <x v="1"/>
    <x v="0"/>
    <x v="3"/>
    <x v="1"/>
    <x v="3"/>
    <x v="1"/>
    <x v="60"/>
    <x v="92"/>
    <x v="168"/>
    <x v="128"/>
    <x v="31"/>
    <x v="23"/>
    <x v="208"/>
    <x v="13"/>
    <x v="5"/>
    <x v="62"/>
    <x v="4"/>
  </r>
  <r>
    <x v="130"/>
    <x v="112"/>
    <x v="14"/>
    <x v="4"/>
    <x v="1"/>
    <x v="28"/>
    <x v="18"/>
    <x v="15"/>
    <x v="3"/>
    <x v="2"/>
    <x v="14"/>
    <x v="1"/>
    <x v="225"/>
    <x v="4"/>
    <x v="19"/>
    <x v="56"/>
    <x v="2"/>
    <x v="1"/>
    <x v="0"/>
    <x v="3"/>
    <x v="1"/>
    <x v="3"/>
    <x v="1"/>
    <x v="67"/>
    <x v="128"/>
    <x v="168"/>
    <x v="128"/>
    <x v="31"/>
    <x v="23"/>
    <x v="95"/>
    <x v="238"/>
    <x v="5"/>
    <x v="62"/>
    <x v="4"/>
  </r>
  <r>
    <x v="131"/>
    <x v="125"/>
    <x v="7"/>
    <x v="10"/>
    <x v="1"/>
    <x v="28"/>
    <x v="18"/>
    <x v="15"/>
    <x v="3"/>
    <x v="0"/>
    <x v="14"/>
    <x v="1"/>
    <x v="254"/>
    <x v="223"/>
    <x v="19"/>
    <x v="56"/>
    <x v="0"/>
    <x v="1"/>
    <x v="0"/>
    <x v="1"/>
    <x v="2"/>
    <x v="3"/>
    <x v="1"/>
    <x v="189"/>
    <x v="116"/>
    <x v="168"/>
    <x v="128"/>
    <x v="31"/>
    <x v="23"/>
    <x v="104"/>
    <x v="183"/>
    <x v="5"/>
    <x v="60"/>
    <x v="4"/>
  </r>
  <r>
    <x v="132"/>
    <x v="223"/>
    <x v="7"/>
    <x v="10"/>
    <x v="1"/>
    <x v="98"/>
    <x v="16"/>
    <x v="13"/>
    <x v="3"/>
    <x v="2"/>
    <x v="14"/>
    <x v="1"/>
    <x v="75"/>
    <x v="258"/>
    <x v="19"/>
    <x v="56"/>
    <x v="2"/>
    <x v="0"/>
    <x v="0"/>
    <x v="2"/>
    <x v="1"/>
    <x v="3"/>
    <x v="1"/>
    <x v="234"/>
    <x v="175"/>
    <x v="168"/>
    <x v="128"/>
    <x v="31"/>
    <x v="23"/>
    <x v="178"/>
    <x v="54"/>
    <x v="5"/>
    <x v="62"/>
    <x v="13"/>
  </r>
  <r>
    <x v="133"/>
    <x v="130"/>
    <x v="8"/>
    <x v="10"/>
    <x v="1"/>
    <x v="98"/>
    <x v="16"/>
    <x v="13"/>
    <x v="3"/>
    <x v="2"/>
    <x v="9"/>
    <x v="1"/>
    <x v="32"/>
    <x v="224"/>
    <x v="19"/>
    <x v="56"/>
    <x v="2"/>
    <x v="0"/>
    <x v="0"/>
    <x v="2"/>
    <x v="1"/>
    <x v="3"/>
    <x v="1"/>
    <x v="34"/>
    <x v="176"/>
    <x v="168"/>
    <x v="128"/>
    <x v="11"/>
    <x v="23"/>
    <x v="105"/>
    <x v="53"/>
    <x v="5"/>
    <x v="62"/>
    <x v="13"/>
  </r>
  <r>
    <x v="134"/>
    <x v="262"/>
    <x v="7"/>
    <x v="10"/>
    <x v="1"/>
    <x v="0"/>
    <x v="16"/>
    <x v="13"/>
    <x v="2"/>
    <x v="2"/>
    <x v="6"/>
    <x v="1"/>
    <x v="162"/>
    <x v="270"/>
    <x v="19"/>
    <x v="44"/>
    <x v="2"/>
    <x v="0"/>
    <x v="0"/>
    <x v="2"/>
    <x v="1"/>
    <x v="3"/>
    <x v="1"/>
    <x v="175"/>
    <x v="174"/>
    <x v="168"/>
    <x v="124"/>
    <x v="31"/>
    <x v="23"/>
    <x v="207"/>
    <x v="187"/>
    <x v="5"/>
    <x v="62"/>
    <x v="13"/>
  </r>
  <r>
    <x v="135"/>
    <x v="243"/>
    <x v="7"/>
    <x v="10"/>
    <x v="1"/>
    <x v="1"/>
    <x v="16"/>
    <x v="13"/>
    <x v="3"/>
    <x v="4"/>
    <x v="6"/>
    <x v="1"/>
    <x v="67"/>
    <x v="170"/>
    <x v="19"/>
    <x v="56"/>
    <x v="0"/>
    <x v="0"/>
    <x v="0"/>
    <x v="0"/>
    <x v="2"/>
    <x v="3"/>
    <x v="1"/>
    <x v="235"/>
    <x v="184"/>
    <x v="143"/>
    <x v="115"/>
    <x v="31"/>
    <x v="23"/>
    <x v="191"/>
    <x v="149"/>
    <x v="5"/>
    <x v="84"/>
    <x v="13"/>
  </r>
  <r>
    <x v="136"/>
    <x v="46"/>
    <x v="5"/>
    <x v="10"/>
    <x v="1"/>
    <x v="208"/>
    <x v="18"/>
    <x v="15"/>
    <x v="3"/>
    <x v="1"/>
    <x v="14"/>
    <x v="1"/>
    <x v="6"/>
    <x v="179"/>
    <x v="19"/>
    <x v="56"/>
    <x v="1"/>
    <x v="1"/>
    <x v="0"/>
    <x v="2"/>
    <x v="1"/>
    <x v="3"/>
    <x v="1"/>
    <x v="5"/>
    <x v="80"/>
    <x v="168"/>
    <x v="128"/>
    <x v="31"/>
    <x v="23"/>
    <x v="57"/>
    <x v="175"/>
    <x v="5"/>
    <x v="84"/>
    <x v="38"/>
  </r>
  <r>
    <x v="137"/>
    <x v="63"/>
    <x v="5"/>
    <x v="10"/>
    <x v="1"/>
    <x v="164"/>
    <x v="17"/>
    <x v="14"/>
    <x v="3"/>
    <x v="2"/>
    <x v="14"/>
    <x v="1"/>
    <x v="235"/>
    <x v="208"/>
    <x v="19"/>
    <x v="56"/>
    <x v="2"/>
    <x v="0"/>
    <x v="0"/>
    <x v="2"/>
    <x v="1"/>
    <x v="3"/>
    <x v="1"/>
    <x v="127"/>
    <x v="39"/>
    <x v="168"/>
    <x v="128"/>
    <x v="31"/>
    <x v="23"/>
    <x v="59"/>
    <x v="56"/>
    <x v="5"/>
    <x v="62"/>
    <x v="30"/>
  </r>
  <r>
    <x v="138"/>
    <x v="136"/>
    <x v="11"/>
    <x v="10"/>
    <x v="1"/>
    <x v="165"/>
    <x v="17"/>
    <x v="14"/>
    <x v="3"/>
    <x v="2"/>
    <x v="14"/>
    <x v="1"/>
    <x v="235"/>
    <x v="226"/>
    <x v="19"/>
    <x v="56"/>
    <x v="2"/>
    <x v="0"/>
    <x v="0"/>
    <x v="2"/>
    <x v="1"/>
    <x v="3"/>
    <x v="1"/>
    <x v="39"/>
    <x v="4"/>
    <x v="168"/>
    <x v="128"/>
    <x v="31"/>
    <x v="23"/>
    <x v="111"/>
    <x v="50"/>
    <x v="5"/>
    <x v="62"/>
    <x v="30"/>
  </r>
  <r>
    <x v="139"/>
    <x v="7"/>
    <x v="11"/>
    <x v="10"/>
    <x v="1"/>
    <x v="168"/>
    <x v="18"/>
    <x v="15"/>
    <x v="3"/>
    <x v="2"/>
    <x v="6"/>
    <x v="1"/>
    <x v="121"/>
    <x v="187"/>
    <x v="19"/>
    <x v="44"/>
    <x v="2"/>
    <x v="1"/>
    <x v="0"/>
    <x v="3"/>
    <x v="1"/>
    <x v="3"/>
    <x v="1"/>
    <x v="10"/>
    <x v="19"/>
    <x v="168"/>
    <x v="7"/>
    <x v="31"/>
    <x v="23"/>
    <x v="9"/>
    <x v="213"/>
    <x v="5"/>
    <x v="62"/>
    <x v="23"/>
  </r>
  <r>
    <x v="140"/>
    <x v="160"/>
    <x v="0"/>
    <x v="10"/>
    <x v="1"/>
    <x v="192"/>
    <x v="18"/>
    <x v="15"/>
    <x v="3"/>
    <x v="1"/>
    <x v="3"/>
    <x v="1"/>
    <x v="184"/>
    <x v="236"/>
    <x v="19"/>
    <x v="32"/>
    <x v="1"/>
    <x v="1"/>
    <x v="1"/>
    <x v="3"/>
    <x v="1"/>
    <x v="3"/>
    <x v="1"/>
    <x v="78"/>
    <x v="158"/>
    <x v="161"/>
    <x v="55"/>
    <x v="14"/>
    <x v="23"/>
    <x v="129"/>
    <x v="247"/>
    <x v="5"/>
    <x v="18"/>
    <x v="4"/>
  </r>
  <r>
    <x v="141"/>
    <x v="142"/>
    <x v="0"/>
    <x v="10"/>
    <x v="1"/>
    <x v="192"/>
    <x v="18"/>
    <x v="15"/>
    <x v="3"/>
    <x v="4"/>
    <x v="6"/>
    <x v="1"/>
    <x v="215"/>
    <x v="26"/>
    <x v="19"/>
    <x v="35"/>
    <x v="0"/>
    <x v="1"/>
    <x v="1"/>
    <x v="2"/>
    <x v="1"/>
    <x v="3"/>
    <x v="1"/>
    <x v="89"/>
    <x v="157"/>
    <x v="88"/>
    <x v="54"/>
    <x v="31"/>
    <x v="23"/>
    <x v="116"/>
    <x v="42"/>
    <x v="5"/>
    <x v="84"/>
    <x v="4"/>
  </r>
  <r>
    <x v="142"/>
    <x v="141"/>
    <x v="19"/>
    <x v="10"/>
    <x v="1"/>
    <x v="184"/>
    <x v="17"/>
    <x v="14"/>
    <x v="3"/>
    <x v="1"/>
    <x v="14"/>
    <x v="1"/>
    <x v="119"/>
    <x v="229"/>
    <x v="19"/>
    <x v="42"/>
    <x v="1"/>
    <x v="0"/>
    <x v="0"/>
    <x v="1"/>
    <x v="2"/>
    <x v="3"/>
    <x v="1"/>
    <x v="37"/>
    <x v="151"/>
    <x v="86"/>
    <x v="128"/>
    <x v="31"/>
    <x v="23"/>
    <x v="115"/>
    <x v="158"/>
    <x v="5"/>
    <x v="84"/>
    <x v="33"/>
  </r>
  <r>
    <x v="143"/>
    <x v="42"/>
    <x v="19"/>
    <x v="10"/>
    <x v="1"/>
    <x v="186"/>
    <x v="17"/>
    <x v="14"/>
    <x v="3"/>
    <x v="2"/>
    <x v="14"/>
    <x v="1"/>
    <x v="226"/>
    <x v="164"/>
    <x v="19"/>
    <x v="56"/>
    <x v="2"/>
    <x v="0"/>
    <x v="0"/>
    <x v="2"/>
    <x v="1"/>
    <x v="3"/>
    <x v="1"/>
    <x v="256"/>
    <x v="153"/>
    <x v="168"/>
    <x v="128"/>
    <x v="31"/>
    <x v="23"/>
    <x v="40"/>
    <x v="160"/>
    <x v="5"/>
    <x v="66"/>
    <x v="33"/>
  </r>
  <r>
    <x v="144"/>
    <x v="69"/>
    <x v="14"/>
    <x v="9"/>
    <x v="1"/>
    <x v="185"/>
    <x v="17"/>
    <x v="14"/>
    <x v="3"/>
    <x v="4"/>
    <x v="9"/>
    <x v="1"/>
    <x v="182"/>
    <x v="212"/>
    <x v="19"/>
    <x v="12"/>
    <x v="0"/>
    <x v="0"/>
    <x v="1"/>
    <x v="1"/>
    <x v="2"/>
    <x v="3"/>
    <x v="1"/>
    <x v="130"/>
    <x v="74"/>
    <x v="43"/>
    <x v="128"/>
    <x v="5"/>
    <x v="23"/>
    <x v="64"/>
    <x v="27"/>
    <x v="5"/>
    <x v="84"/>
    <x v="33"/>
  </r>
  <r>
    <x v="145"/>
    <x v="279"/>
    <x v="14"/>
    <x v="9"/>
    <x v="1"/>
    <x v="22"/>
    <x v="18"/>
    <x v="15"/>
    <x v="3"/>
    <x v="2"/>
    <x v="14"/>
    <x v="1"/>
    <x v="8"/>
    <x v="278"/>
    <x v="19"/>
    <x v="56"/>
    <x v="2"/>
    <x v="1"/>
    <x v="0"/>
    <x v="3"/>
    <x v="1"/>
    <x v="3"/>
    <x v="1"/>
    <x v="134"/>
    <x v="42"/>
    <x v="168"/>
    <x v="128"/>
    <x v="31"/>
    <x v="23"/>
    <x v="222"/>
    <x v="45"/>
    <x v="5"/>
    <x v="62"/>
    <x v="3"/>
  </r>
  <r>
    <x v="146"/>
    <x v="196"/>
    <x v="15"/>
    <x v="10"/>
    <x v="1"/>
    <x v="27"/>
    <x v="17"/>
    <x v="14"/>
    <x v="3"/>
    <x v="1"/>
    <x v="14"/>
    <x v="1"/>
    <x v="192"/>
    <x v="250"/>
    <x v="19"/>
    <x v="12"/>
    <x v="1"/>
    <x v="0"/>
    <x v="1"/>
    <x v="2"/>
    <x v="1"/>
    <x v="3"/>
    <x v="1"/>
    <x v="206"/>
    <x v="138"/>
    <x v="116"/>
    <x v="128"/>
    <x v="31"/>
    <x v="23"/>
    <x v="157"/>
    <x v="254"/>
    <x v="5"/>
    <x v="84"/>
    <x v="33"/>
  </r>
  <r>
    <x v="147"/>
    <x v="217"/>
    <x v="15"/>
    <x v="10"/>
    <x v="1"/>
    <x v="183"/>
    <x v="17"/>
    <x v="14"/>
    <x v="3"/>
    <x v="1"/>
    <x v="14"/>
    <x v="1"/>
    <x v="19"/>
    <x v="256"/>
    <x v="19"/>
    <x v="7"/>
    <x v="1"/>
    <x v="0"/>
    <x v="1"/>
    <x v="2"/>
    <x v="1"/>
    <x v="3"/>
    <x v="1"/>
    <x v="211"/>
    <x v="99"/>
    <x v="130"/>
    <x v="128"/>
    <x v="31"/>
    <x v="23"/>
    <x v="174"/>
    <x v="67"/>
    <x v="5"/>
    <x v="59"/>
    <x v="33"/>
  </r>
  <r>
    <x v="148"/>
    <x v="27"/>
    <x v="15"/>
    <x v="10"/>
    <x v="1"/>
    <x v="209"/>
    <x v="18"/>
    <x v="15"/>
    <x v="3"/>
    <x v="2"/>
    <x v="6"/>
    <x v="1"/>
    <x v="114"/>
    <x v="193"/>
    <x v="19"/>
    <x v="27"/>
    <x v="2"/>
    <x v="1"/>
    <x v="1"/>
    <x v="4"/>
    <x v="0"/>
    <x v="3"/>
    <x v="1"/>
    <x v="56"/>
    <x v="60"/>
    <x v="168"/>
    <x v="14"/>
    <x v="31"/>
    <x v="23"/>
    <x v="23"/>
    <x v="198"/>
    <x v="5"/>
    <x v="62"/>
    <x v="38"/>
  </r>
  <r>
    <x v="149"/>
    <x v="169"/>
    <x v="15"/>
    <x v="10"/>
    <x v="1"/>
    <x v="210"/>
    <x v="18"/>
    <x v="15"/>
    <x v="3"/>
    <x v="1"/>
    <x v="6"/>
    <x v="1"/>
    <x v="108"/>
    <x v="238"/>
    <x v="19"/>
    <x v="4"/>
    <x v="1"/>
    <x v="1"/>
    <x v="1"/>
    <x v="3"/>
    <x v="1"/>
    <x v="3"/>
    <x v="1"/>
    <x v="68"/>
    <x v="62"/>
    <x v="100"/>
    <x v="59"/>
    <x v="31"/>
    <x v="23"/>
    <x v="134"/>
    <x v="60"/>
    <x v="5"/>
    <x v="84"/>
    <x v="38"/>
  </r>
  <r>
    <x v="150"/>
    <x v="119"/>
    <x v="15"/>
    <x v="10"/>
    <x v="1"/>
    <x v="101"/>
    <x v="17"/>
    <x v="14"/>
    <x v="3"/>
    <x v="4"/>
    <x v="13"/>
    <x v="0"/>
    <x v="221"/>
    <x v="21"/>
    <x v="19"/>
    <x v="35"/>
    <x v="0"/>
    <x v="0"/>
    <x v="1"/>
    <x v="1"/>
    <x v="2"/>
    <x v="3"/>
    <x v="1"/>
    <x v="46"/>
    <x v="261"/>
    <x v="73"/>
    <x v="128"/>
    <x v="31"/>
    <x v="23"/>
    <x v="226"/>
    <x v="38"/>
    <x v="5"/>
    <x v="84"/>
    <x v="16"/>
  </r>
  <r>
    <x v="151"/>
    <x v="43"/>
    <x v="9"/>
    <x v="10"/>
    <x v="0"/>
    <x v="166"/>
    <x v="17"/>
    <x v="14"/>
    <x v="1"/>
    <x v="3"/>
    <x v="6"/>
    <x v="1"/>
    <x v="54"/>
    <x v="201"/>
    <x v="19"/>
    <x v="33"/>
    <x v="2"/>
    <x v="0"/>
    <x v="1"/>
    <x v="3"/>
    <x v="1"/>
    <x v="3"/>
    <x v="1"/>
    <x v="88"/>
    <x v="243"/>
    <x v="67"/>
    <x v="42"/>
    <x v="31"/>
    <x v="23"/>
    <x v="41"/>
    <x v="188"/>
    <x v="5"/>
    <x v="84"/>
    <x v="30"/>
  </r>
  <r>
    <x v="152"/>
    <x v="233"/>
    <x v="9"/>
    <x v="10"/>
    <x v="0"/>
    <x v="29"/>
    <x v="18"/>
    <x v="15"/>
    <x v="3"/>
    <x v="2"/>
    <x v="6"/>
    <x v="1"/>
    <x v="130"/>
    <x v="261"/>
    <x v="19"/>
    <x v="56"/>
    <x v="2"/>
    <x v="1"/>
    <x v="0"/>
    <x v="3"/>
    <x v="1"/>
    <x v="3"/>
    <x v="1"/>
    <x v="104"/>
    <x v="258"/>
    <x v="168"/>
    <x v="112"/>
    <x v="31"/>
    <x v="23"/>
    <x v="183"/>
    <x v="190"/>
    <x v="5"/>
    <x v="62"/>
    <x v="4"/>
  </r>
  <r>
    <x v="153"/>
    <x v="103"/>
    <x v="9"/>
    <x v="10"/>
    <x v="0"/>
    <x v="139"/>
    <x v="17"/>
    <x v="14"/>
    <x v="3"/>
    <x v="3"/>
    <x v="13"/>
    <x v="0"/>
    <x v="244"/>
    <x v="175"/>
    <x v="19"/>
    <x v="56"/>
    <x v="2"/>
    <x v="0"/>
    <x v="0"/>
    <x v="2"/>
    <x v="1"/>
    <x v="3"/>
    <x v="1"/>
    <x v="263"/>
    <x v="188"/>
    <x v="65"/>
    <x v="128"/>
    <x v="31"/>
    <x v="23"/>
    <x v="226"/>
    <x v="35"/>
    <x v="5"/>
    <x v="5"/>
    <x v="16"/>
  </r>
  <r>
    <x v="154"/>
    <x v="61"/>
    <x v="9"/>
    <x v="10"/>
    <x v="0"/>
    <x v="138"/>
    <x v="17"/>
    <x v="14"/>
    <x v="3"/>
    <x v="4"/>
    <x v="6"/>
    <x v="1"/>
    <x v="224"/>
    <x v="207"/>
    <x v="19"/>
    <x v="56"/>
    <x v="0"/>
    <x v="0"/>
    <x v="0"/>
    <x v="0"/>
    <x v="2"/>
    <x v="3"/>
    <x v="1"/>
    <x v="31"/>
    <x v="250"/>
    <x v="36"/>
    <x v="26"/>
    <x v="31"/>
    <x v="23"/>
    <x v="56"/>
    <x v="23"/>
    <x v="5"/>
    <x v="84"/>
    <x v="16"/>
  </r>
  <r>
    <x v="155"/>
    <x v="87"/>
    <x v="9"/>
    <x v="10"/>
    <x v="0"/>
    <x v="63"/>
    <x v="18"/>
    <x v="15"/>
    <x v="3"/>
    <x v="1"/>
    <x v="6"/>
    <x v="1"/>
    <x v="3"/>
    <x v="169"/>
    <x v="19"/>
    <x v="45"/>
    <x v="1"/>
    <x v="1"/>
    <x v="0"/>
    <x v="2"/>
    <x v="1"/>
    <x v="3"/>
    <x v="1"/>
    <x v="93"/>
    <x v="248"/>
    <x v="56"/>
    <x v="36"/>
    <x v="31"/>
    <x v="23"/>
    <x v="79"/>
    <x v="233"/>
    <x v="5"/>
    <x v="15"/>
    <x v="3"/>
  </r>
  <r>
    <x v="156"/>
    <x v="254"/>
    <x v="3"/>
    <x v="10"/>
    <x v="0"/>
    <x v="130"/>
    <x v="17"/>
    <x v="14"/>
    <x v="3"/>
    <x v="4"/>
    <x v="9"/>
    <x v="1"/>
    <x v="36"/>
    <x v="267"/>
    <x v="19"/>
    <x v="10"/>
    <x v="0"/>
    <x v="0"/>
    <x v="1"/>
    <x v="1"/>
    <x v="2"/>
    <x v="3"/>
    <x v="1"/>
    <x v="35"/>
    <x v="247"/>
    <x v="147"/>
    <x v="128"/>
    <x v="25"/>
    <x v="23"/>
    <x v="199"/>
    <x v="74"/>
    <x v="5"/>
    <x v="84"/>
    <x v="33"/>
  </r>
  <r>
    <x v="157"/>
    <x v="12"/>
    <x v="6"/>
    <x v="10"/>
    <x v="0"/>
    <x v="169"/>
    <x v="18"/>
    <x v="15"/>
    <x v="1"/>
    <x v="4"/>
    <x v="6"/>
    <x v="1"/>
    <x v="222"/>
    <x v="189"/>
    <x v="19"/>
    <x v="39"/>
    <x v="0"/>
    <x v="1"/>
    <x v="1"/>
    <x v="2"/>
    <x v="1"/>
    <x v="3"/>
    <x v="1"/>
    <x v="96"/>
    <x v="214"/>
    <x v="5"/>
    <x v="8"/>
    <x v="31"/>
    <x v="23"/>
    <x v="11"/>
    <x v="80"/>
    <x v="5"/>
    <x v="84"/>
    <x v="23"/>
  </r>
  <r>
    <x v="158"/>
    <x v="44"/>
    <x v="6"/>
    <x v="10"/>
    <x v="0"/>
    <x v="18"/>
    <x v="16"/>
    <x v="13"/>
    <x v="3"/>
    <x v="1"/>
    <x v="6"/>
    <x v="1"/>
    <x v="14"/>
    <x v="202"/>
    <x v="19"/>
    <x v="29"/>
    <x v="1"/>
    <x v="0"/>
    <x v="1"/>
    <x v="2"/>
    <x v="1"/>
    <x v="3"/>
    <x v="1"/>
    <x v="183"/>
    <x v="193"/>
    <x v="26"/>
    <x v="29"/>
    <x v="31"/>
    <x v="23"/>
    <x v="42"/>
    <x v="44"/>
    <x v="5"/>
    <x v="15"/>
    <x v="13"/>
  </r>
  <r>
    <x v="159"/>
    <x v="68"/>
    <x v="6"/>
    <x v="10"/>
    <x v="0"/>
    <x v="64"/>
    <x v="17"/>
    <x v="14"/>
    <x v="3"/>
    <x v="2"/>
    <x v="6"/>
    <x v="1"/>
    <x v="238"/>
    <x v="211"/>
    <x v="19"/>
    <x v="56"/>
    <x v="2"/>
    <x v="0"/>
    <x v="0"/>
    <x v="2"/>
    <x v="1"/>
    <x v="3"/>
    <x v="1"/>
    <x v="122"/>
    <x v="212"/>
    <x v="168"/>
    <x v="81"/>
    <x v="31"/>
    <x v="23"/>
    <x v="63"/>
    <x v="48"/>
    <x v="5"/>
    <x v="62"/>
    <x v="33"/>
  </r>
  <r>
    <x v="160"/>
    <x v="30"/>
    <x v="6"/>
    <x v="10"/>
    <x v="0"/>
    <x v="140"/>
    <x v="17"/>
    <x v="14"/>
    <x v="3"/>
    <x v="4"/>
    <x v="6"/>
    <x v="1"/>
    <x v="223"/>
    <x v="68"/>
    <x v="19"/>
    <x v="56"/>
    <x v="0"/>
    <x v="0"/>
    <x v="0"/>
    <x v="0"/>
    <x v="2"/>
    <x v="3"/>
    <x v="1"/>
    <x v="200"/>
    <x v="213"/>
    <x v="18"/>
    <x v="77"/>
    <x v="31"/>
    <x v="23"/>
    <x v="26"/>
    <x v="102"/>
    <x v="5"/>
    <x v="84"/>
    <x v="16"/>
  </r>
  <r>
    <x v="161"/>
    <x v="91"/>
    <x v="6"/>
    <x v="10"/>
    <x v="0"/>
    <x v="49"/>
    <x v="16"/>
    <x v="13"/>
    <x v="3"/>
    <x v="4"/>
    <x v="13"/>
    <x v="0"/>
    <x v="109"/>
    <x v="16"/>
    <x v="19"/>
    <x v="12"/>
    <x v="0"/>
    <x v="0"/>
    <x v="1"/>
    <x v="1"/>
    <x v="2"/>
    <x v="3"/>
    <x v="1"/>
    <x v="263"/>
    <x v="261"/>
    <x v="59"/>
    <x v="128"/>
    <x v="31"/>
    <x v="23"/>
    <x v="226"/>
    <x v="33"/>
    <x v="5"/>
    <x v="47"/>
    <x v="13"/>
  </r>
  <r>
    <x v="162"/>
    <x v="100"/>
    <x v="1"/>
    <x v="10"/>
    <x v="1"/>
    <x v="208"/>
    <x v="18"/>
    <x v="15"/>
    <x v="1"/>
    <x v="1"/>
    <x v="14"/>
    <x v="1"/>
    <x v="159"/>
    <x v="218"/>
    <x v="19"/>
    <x v="36"/>
    <x v="1"/>
    <x v="1"/>
    <x v="1"/>
    <x v="3"/>
    <x v="1"/>
    <x v="3"/>
    <x v="1"/>
    <x v="27"/>
    <x v="43"/>
    <x v="63"/>
    <x v="128"/>
    <x v="31"/>
    <x v="23"/>
    <x v="89"/>
    <x v="118"/>
    <x v="5"/>
    <x v="84"/>
    <x v="38"/>
  </r>
  <r>
    <x v="163"/>
    <x v="36"/>
    <x v="7"/>
    <x v="10"/>
    <x v="1"/>
    <x v="34"/>
    <x v="7"/>
    <x v="4"/>
    <x v="3"/>
    <x v="1"/>
    <x v="3"/>
    <x v="1"/>
    <x v="258"/>
    <x v="199"/>
    <x v="19"/>
    <x v="56"/>
    <x v="1"/>
    <x v="1"/>
    <x v="0"/>
    <x v="2"/>
    <x v="1"/>
    <x v="3"/>
    <x v="1"/>
    <x v="161"/>
    <x v="125"/>
    <x v="168"/>
    <x v="120"/>
    <x v="28"/>
    <x v="23"/>
    <x v="34"/>
    <x v="220"/>
    <x v="5"/>
    <x v="20"/>
    <x v="5"/>
  </r>
  <r>
    <x v="164"/>
    <x v="35"/>
    <x v="7"/>
    <x v="10"/>
    <x v="1"/>
    <x v="31"/>
    <x v="7"/>
    <x v="4"/>
    <x v="3"/>
    <x v="2"/>
    <x v="14"/>
    <x v="1"/>
    <x v="248"/>
    <x v="198"/>
    <x v="19"/>
    <x v="56"/>
    <x v="2"/>
    <x v="1"/>
    <x v="0"/>
    <x v="3"/>
    <x v="1"/>
    <x v="3"/>
    <x v="1"/>
    <x v="21"/>
    <x v="171"/>
    <x v="168"/>
    <x v="128"/>
    <x v="31"/>
    <x v="23"/>
    <x v="33"/>
    <x v="219"/>
    <x v="5"/>
    <x v="62"/>
    <x v="5"/>
  </r>
  <r>
    <x v="165"/>
    <x v="31"/>
    <x v="7"/>
    <x v="10"/>
    <x v="1"/>
    <x v="31"/>
    <x v="7"/>
    <x v="4"/>
    <x v="3"/>
    <x v="2"/>
    <x v="14"/>
    <x v="1"/>
    <x v="250"/>
    <x v="195"/>
    <x v="19"/>
    <x v="56"/>
    <x v="2"/>
    <x v="1"/>
    <x v="0"/>
    <x v="3"/>
    <x v="1"/>
    <x v="3"/>
    <x v="1"/>
    <x v="44"/>
    <x v="182"/>
    <x v="168"/>
    <x v="128"/>
    <x v="31"/>
    <x v="23"/>
    <x v="29"/>
    <x v="216"/>
    <x v="5"/>
    <x v="62"/>
    <x v="5"/>
  </r>
  <r>
    <x v="166"/>
    <x v="32"/>
    <x v="7"/>
    <x v="10"/>
    <x v="1"/>
    <x v="33"/>
    <x v="7"/>
    <x v="4"/>
    <x v="3"/>
    <x v="2"/>
    <x v="14"/>
    <x v="1"/>
    <x v="250"/>
    <x v="197"/>
    <x v="19"/>
    <x v="56"/>
    <x v="2"/>
    <x v="1"/>
    <x v="0"/>
    <x v="3"/>
    <x v="1"/>
    <x v="3"/>
    <x v="1"/>
    <x v="195"/>
    <x v="189"/>
    <x v="168"/>
    <x v="128"/>
    <x v="31"/>
    <x v="23"/>
    <x v="31"/>
    <x v="218"/>
    <x v="5"/>
    <x v="62"/>
    <x v="5"/>
  </r>
  <r>
    <x v="167"/>
    <x v="33"/>
    <x v="7"/>
    <x v="10"/>
    <x v="1"/>
    <x v="31"/>
    <x v="7"/>
    <x v="4"/>
    <x v="3"/>
    <x v="2"/>
    <x v="14"/>
    <x v="1"/>
    <x v="250"/>
    <x v="196"/>
    <x v="19"/>
    <x v="56"/>
    <x v="2"/>
    <x v="1"/>
    <x v="0"/>
    <x v="3"/>
    <x v="1"/>
    <x v="3"/>
    <x v="1"/>
    <x v="178"/>
    <x v="53"/>
    <x v="168"/>
    <x v="128"/>
    <x v="31"/>
    <x v="23"/>
    <x v="30"/>
    <x v="217"/>
    <x v="5"/>
    <x v="62"/>
    <x v="5"/>
  </r>
  <r>
    <x v="168"/>
    <x v="34"/>
    <x v="14"/>
    <x v="10"/>
    <x v="1"/>
    <x v="32"/>
    <x v="7"/>
    <x v="4"/>
    <x v="3"/>
    <x v="4"/>
    <x v="6"/>
    <x v="1"/>
    <x v="219"/>
    <x v="163"/>
    <x v="19"/>
    <x v="9"/>
    <x v="0"/>
    <x v="1"/>
    <x v="1"/>
    <x v="2"/>
    <x v="1"/>
    <x v="3"/>
    <x v="1"/>
    <x v="247"/>
    <x v="90"/>
    <x v="20"/>
    <x v="17"/>
    <x v="31"/>
    <x v="23"/>
    <x v="32"/>
    <x v="94"/>
    <x v="5"/>
    <x v="84"/>
    <x v="5"/>
  </r>
  <r>
    <x v="169"/>
    <x v="179"/>
    <x v="7"/>
    <x v="10"/>
    <x v="1"/>
    <x v="143"/>
    <x v="6"/>
    <x v="4"/>
    <x v="3"/>
    <x v="3"/>
    <x v="14"/>
    <x v="1"/>
    <x v="257"/>
    <x v="241"/>
    <x v="19"/>
    <x v="56"/>
    <x v="2"/>
    <x v="1"/>
    <x v="0"/>
    <x v="3"/>
    <x v="1"/>
    <x v="3"/>
    <x v="1"/>
    <x v="133"/>
    <x v="149"/>
    <x v="109"/>
    <x v="128"/>
    <x v="31"/>
    <x v="23"/>
    <x v="141"/>
    <x v="186"/>
    <x v="5"/>
    <x v="46"/>
    <x v="26"/>
  </r>
  <r>
    <x v="170"/>
    <x v="222"/>
    <x v="7"/>
    <x v="10"/>
    <x v="1"/>
    <x v="142"/>
    <x v="6"/>
    <x v="4"/>
    <x v="3"/>
    <x v="0"/>
    <x v="14"/>
    <x v="1"/>
    <x v="120"/>
    <x v="257"/>
    <x v="19"/>
    <x v="43"/>
    <x v="0"/>
    <x v="1"/>
    <x v="0"/>
    <x v="1"/>
    <x v="2"/>
    <x v="3"/>
    <x v="1"/>
    <x v="49"/>
    <x v="58"/>
    <x v="168"/>
    <x v="128"/>
    <x v="31"/>
    <x v="23"/>
    <x v="177"/>
    <x v="258"/>
    <x v="5"/>
    <x v="44"/>
    <x v="26"/>
  </r>
  <r>
    <x v="171"/>
    <x v="268"/>
    <x v="7"/>
    <x v="10"/>
    <x v="1"/>
    <x v="120"/>
    <x v="6"/>
    <x v="4"/>
    <x v="1"/>
    <x v="2"/>
    <x v="6"/>
    <x v="1"/>
    <x v="142"/>
    <x v="275"/>
    <x v="19"/>
    <x v="14"/>
    <x v="2"/>
    <x v="1"/>
    <x v="1"/>
    <x v="4"/>
    <x v="0"/>
    <x v="3"/>
    <x v="1"/>
    <x v="248"/>
    <x v="147"/>
    <x v="168"/>
    <x v="121"/>
    <x v="31"/>
    <x v="23"/>
    <x v="213"/>
    <x v="83"/>
    <x v="5"/>
    <x v="62"/>
    <x v="3"/>
  </r>
  <r>
    <x v="172"/>
    <x v="101"/>
    <x v="7"/>
    <x v="10"/>
    <x v="1"/>
    <x v="119"/>
    <x v="6"/>
    <x v="4"/>
    <x v="0"/>
    <x v="1"/>
    <x v="6"/>
    <x v="1"/>
    <x v="117"/>
    <x v="219"/>
    <x v="19"/>
    <x v="40"/>
    <x v="1"/>
    <x v="1"/>
    <x v="1"/>
    <x v="3"/>
    <x v="1"/>
    <x v="3"/>
    <x v="1"/>
    <x v="57"/>
    <x v="181"/>
    <x v="64"/>
    <x v="39"/>
    <x v="31"/>
    <x v="23"/>
    <x v="90"/>
    <x v="180"/>
    <x v="5"/>
    <x v="27"/>
    <x v="3"/>
  </r>
  <r>
    <x v="173"/>
    <x v="269"/>
    <x v="7"/>
    <x v="10"/>
    <x v="1"/>
    <x v="121"/>
    <x v="6"/>
    <x v="4"/>
    <x v="0"/>
    <x v="4"/>
    <x v="9"/>
    <x v="1"/>
    <x v="107"/>
    <x v="31"/>
    <x v="19"/>
    <x v="56"/>
    <x v="0"/>
    <x v="1"/>
    <x v="0"/>
    <x v="1"/>
    <x v="2"/>
    <x v="3"/>
    <x v="1"/>
    <x v="173"/>
    <x v="156"/>
    <x v="154"/>
    <x v="128"/>
    <x v="29"/>
    <x v="23"/>
    <x v="214"/>
    <x v="68"/>
    <x v="5"/>
    <x v="84"/>
    <x v="3"/>
  </r>
  <r>
    <x v="174"/>
    <x v="110"/>
    <x v="10"/>
    <x v="10"/>
    <x v="1"/>
    <x v="92"/>
    <x v="6"/>
    <x v="4"/>
    <x v="1"/>
    <x v="0"/>
    <x v="14"/>
    <x v="1"/>
    <x v="140"/>
    <x v="167"/>
    <x v="19"/>
    <x v="5"/>
    <x v="0"/>
    <x v="1"/>
    <x v="1"/>
    <x v="2"/>
    <x v="1"/>
    <x v="3"/>
    <x v="1"/>
    <x v="143"/>
    <x v="6"/>
    <x v="168"/>
    <x v="128"/>
    <x v="31"/>
    <x v="23"/>
    <x v="93"/>
    <x v="192"/>
    <x v="5"/>
    <x v="82"/>
    <x v="12"/>
  </r>
  <r>
    <x v="175"/>
    <x v="6"/>
    <x v="10"/>
    <x v="10"/>
    <x v="1"/>
    <x v="161"/>
    <x v="13"/>
    <x v="10"/>
    <x v="1"/>
    <x v="2"/>
    <x v="13"/>
    <x v="0"/>
    <x v="55"/>
    <x v="53"/>
    <x v="19"/>
    <x v="37"/>
    <x v="2"/>
    <x v="1"/>
    <x v="1"/>
    <x v="4"/>
    <x v="0"/>
    <x v="3"/>
    <x v="1"/>
    <x v="263"/>
    <x v="107"/>
    <x v="168"/>
    <x v="128"/>
    <x v="31"/>
    <x v="23"/>
    <x v="226"/>
    <x v="191"/>
    <x v="5"/>
    <x v="67"/>
    <x v="21"/>
  </r>
  <r>
    <x v="176"/>
    <x v="173"/>
    <x v="10"/>
    <x v="10"/>
    <x v="1"/>
    <x v="162"/>
    <x v="13"/>
    <x v="10"/>
    <x v="1"/>
    <x v="2"/>
    <x v="13"/>
    <x v="0"/>
    <x v="59"/>
    <x v="52"/>
    <x v="19"/>
    <x v="44"/>
    <x v="2"/>
    <x v="1"/>
    <x v="0"/>
    <x v="3"/>
    <x v="1"/>
    <x v="3"/>
    <x v="1"/>
    <x v="263"/>
    <x v="13"/>
    <x v="168"/>
    <x v="128"/>
    <x v="31"/>
    <x v="23"/>
    <x v="226"/>
    <x v="121"/>
    <x v="5"/>
    <x v="67"/>
    <x v="21"/>
  </r>
  <r>
    <x v="177"/>
    <x v="227"/>
    <x v="10"/>
    <x v="10"/>
    <x v="1"/>
    <x v="127"/>
    <x v="13"/>
    <x v="10"/>
    <x v="2"/>
    <x v="0"/>
    <x v="13"/>
    <x v="0"/>
    <x v="62"/>
    <x v="51"/>
    <x v="19"/>
    <x v="49"/>
    <x v="0"/>
    <x v="1"/>
    <x v="0"/>
    <x v="1"/>
    <x v="2"/>
    <x v="3"/>
    <x v="1"/>
    <x v="263"/>
    <x v="261"/>
    <x v="168"/>
    <x v="128"/>
    <x v="31"/>
    <x v="23"/>
    <x v="226"/>
    <x v="278"/>
    <x v="4"/>
    <x v="34"/>
    <x v="21"/>
  </r>
  <r>
    <x v="178"/>
    <x v="94"/>
    <x v="11"/>
    <x v="10"/>
    <x v="1"/>
    <x v="62"/>
    <x v="13"/>
    <x v="10"/>
    <x v="1"/>
    <x v="2"/>
    <x v="14"/>
    <x v="1"/>
    <x v="177"/>
    <x v="60"/>
    <x v="19"/>
    <x v="54"/>
    <x v="2"/>
    <x v="1"/>
    <x v="0"/>
    <x v="3"/>
    <x v="1"/>
    <x v="3"/>
    <x v="1"/>
    <x v="263"/>
    <x v="11"/>
    <x v="168"/>
    <x v="128"/>
    <x v="31"/>
    <x v="23"/>
    <x v="84"/>
    <x v="93"/>
    <x v="5"/>
    <x v="76"/>
    <x v="21"/>
  </r>
  <r>
    <x v="179"/>
    <x v="95"/>
    <x v="11"/>
    <x v="10"/>
    <x v="1"/>
    <x v="61"/>
    <x v="13"/>
    <x v="10"/>
    <x v="3"/>
    <x v="2"/>
    <x v="14"/>
    <x v="1"/>
    <x v="105"/>
    <x v="61"/>
    <x v="19"/>
    <x v="51"/>
    <x v="2"/>
    <x v="1"/>
    <x v="0"/>
    <x v="3"/>
    <x v="1"/>
    <x v="3"/>
    <x v="1"/>
    <x v="263"/>
    <x v="261"/>
    <x v="168"/>
    <x v="128"/>
    <x v="31"/>
    <x v="23"/>
    <x v="85"/>
    <x v="133"/>
    <x v="5"/>
    <x v="67"/>
    <x v="21"/>
  </r>
  <r>
    <x v="180"/>
    <x v="231"/>
    <x v="18"/>
    <x v="10"/>
    <x v="0"/>
    <x v="196"/>
    <x v="13"/>
    <x v="10"/>
    <x v="1"/>
    <x v="2"/>
    <x v="13"/>
    <x v="0"/>
    <x v="12"/>
    <x v="62"/>
    <x v="19"/>
    <x v="56"/>
    <x v="2"/>
    <x v="1"/>
    <x v="0"/>
    <x v="3"/>
    <x v="1"/>
    <x v="3"/>
    <x v="1"/>
    <x v="23"/>
    <x v="190"/>
    <x v="168"/>
    <x v="128"/>
    <x v="31"/>
    <x v="23"/>
    <x v="226"/>
    <x v="95"/>
    <x v="5"/>
    <x v="62"/>
    <x v="35"/>
  </r>
  <r>
    <x v="181"/>
    <x v="193"/>
    <x v="23"/>
    <x v="10"/>
    <x v="0"/>
    <x v="141"/>
    <x v="13"/>
    <x v="10"/>
    <x v="1"/>
    <x v="1"/>
    <x v="14"/>
    <x v="1"/>
    <x v="122"/>
    <x v="249"/>
    <x v="19"/>
    <x v="52"/>
    <x v="1"/>
    <x v="1"/>
    <x v="0"/>
    <x v="2"/>
    <x v="1"/>
    <x v="3"/>
    <x v="1"/>
    <x v="75"/>
    <x v="240"/>
    <x v="168"/>
    <x v="128"/>
    <x v="31"/>
    <x v="23"/>
    <x v="154"/>
    <x v="100"/>
    <x v="5"/>
    <x v="27"/>
    <x v="39"/>
  </r>
  <r>
    <x v="182"/>
    <x v="192"/>
    <x v="7"/>
    <x v="10"/>
    <x v="1"/>
    <x v="99"/>
    <x v="14"/>
    <x v="11"/>
    <x v="1"/>
    <x v="2"/>
    <x v="6"/>
    <x v="1"/>
    <x v="193"/>
    <x v="8"/>
    <x v="19"/>
    <x v="49"/>
    <x v="2"/>
    <x v="1"/>
    <x v="0"/>
    <x v="3"/>
    <x v="1"/>
    <x v="3"/>
    <x v="1"/>
    <x v="148"/>
    <x v="126"/>
    <x v="168"/>
    <x v="91"/>
    <x v="31"/>
    <x v="23"/>
    <x v="153"/>
    <x v="19"/>
    <x v="5"/>
    <x v="65"/>
    <x v="9"/>
  </r>
  <r>
    <x v="183"/>
    <x v="8"/>
    <x v="7"/>
    <x v="10"/>
    <x v="1"/>
    <x v="19"/>
    <x v="14"/>
    <x v="11"/>
    <x v="3"/>
    <x v="2"/>
    <x v="14"/>
    <x v="1"/>
    <x v="95"/>
    <x v="72"/>
    <x v="0"/>
    <x v="26"/>
    <x v="2"/>
    <x v="1"/>
    <x v="1"/>
    <x v="4"/>
    <x v="0"/>
    <x v="3"/>
    <x v="1"/>
    <x v="169"/>
    <x v="127"/>
    <x v="168"/>
    <x v="128"/>
    <x v="31"/>
    <x v="23"/>
    <x v="7"/>
    <x v="104"/>
    <x v="5"/>
    <x v="62"/>
    <x v="9"/>
  </r>
  <r>
    <x v="184"/>
    <x v="1"/>
    <x v="7"/>
    <x v="10"/>
    <x v="1"/>
    <x v="20"/>
    <x v="14"/>
    <x v="11"/>
    <x v="3"/>
    <x v="0"/>
    <x v="14"/>
    <x v="1"/>
    <x v="101"/>
    <x v="185"/>
    <x v="19"/>
    <x v="51"/>
    <x v="0"/>
    <x v="1"/>
    <x v="0"/>
    <x v="1"/>
    <x v="2"/>
    <x v="3"/>
    <x v="1"/>
    <x v="95"/>
    <x v="261"/>
    <x v="168"/>
    <x v="128"/>
    <x v="31"/>
    <x v="23"/>
    <x v="4"/>
    <x v="211"/>
    <x v="5"/>
    <x v="54"/>
    <x v="9"/>
  </r>
  <r>
    <x v="185"/>
    <x v="278"/>
    <x v="11"/>
    <x v="10"/>
    <x v="1"/>
    <x v="215"/>
    <x v="14"/>
    <x v="11"/>
    <x v="1"/>
    <x v="3"/>
    <x v="6"/>
    <x v="1"/>
    <x v="188"/>
    <x v="1"/>
    <x v="19"/>
    <x v="43"/>
    <x v="2"/>
    <x v="1"/>
    <x v="0"/>
    <x v="3"/>
    <x v="1"/>
    <x v="3"/>
    <x v="1"/>
    <x v="6"/>
    <x v="85"/>
    <x v="160"/>
    <x v="126"/>
    <x v="31"/>
    <x v="23"/>
    <x v="221"/>
    <x v="270"/>
    <x v="5"/>
    <x v="84"/>
    <x v="9"/>
  </r>
  <r>
    <x v="186"/>
    <x v="190"/>
    <x v="21"/>
    <x v="10"/>
    <x v="0"/>
    <x v="2"/>
    <x v="14"/>
    <x v="11"/>
    <x v="3"/>
    <x v="2"/>
    <x v="3"/>
    <x v="1"/>
    <x v="242"/>
    <x v="247"/>
    <x v="19"/>
    <x v="56"/>
    <x v="2"/>
    <x v="1"/>
    <x v="0"/>
    <x v="3"/>
    <x v="1"/>
    <x v="3"/>
    <x v="1"/>
    <x v="208"/>
    <x v="206"/>
    <x v="168"/>
    <x v="69"/>
    <x v="17"/>
    <x v="23"/>
    <x v="151"/>
    <x v="253"/>
    <x v="5"/>
    <x v="62"/>
    <x v="27"/>
  </r>
  <r>
    <x v="187"/>
    <x v="191"/>
    <x v="21"/>
    <x v="10"/>
    <x v="0"/>
    <x v="79"/>
    <x v="14"/>
    <x v="11"/>
    <x v="1"/>
    <x v="4"/>
    <x v="6"/>
    <x v="1"/>
    <x v="100"/>
    <x v="248"/>
    <x v="19"/>
    <x v="40"/>
    <x v="0"/>
    <x v="1"/>
    <x v="1"/>
    <x v="2"/>
    <x v="1"/>
    <x v="3"/>
    <x v="1"/>
    <x v="81"/>
    <x v="218"/>
    <x v="114"/>
    <x v="70"/>
    <x v="31"/>
    <x v="23"/>
    <x v="152"/>
    <x v="63"/>
    <x v="5"/>
    <x v="84"/>
    <x v="27"/>
  </r>
  <r>
    <x v="188"/>
    <x v="261"/>
    <x v="21"/>
    <x v="10"/>
    <x v="0"/>
    <x v="87"/>
    <x v="14"/>
    <x v="11"/>
    <x v="3"/>
    <x v="0"/>
    <x v="14"/>
    <x v="1"/>
    <x v="103"/>
    <x v="269"/>
    <x v="19"/>
    <x v="47"/>
    <x v="0"/>
    <x v="1"/>
    <x v="0"/>
    <x v="1"/>
    <x v="2"/>
    <x v="3"/>
    <x v="1"/>
    <x v="263"/>
    <x v="261"/>
    <x v="168"/>
    <x v="128"/>
    <x v="31"/>
    <x v="23"/>
    <x v="206"/>
    <x v="278"/>
    <x v="5"/>
    <x v="26"/>
    <x v="27"/>
  </r>
  <r>
    <x v="189"/>
    <x v="143"/>
    <x v="7"/>
    <x v="10"/>
    <x v="1"/>
    <x v="78"/>
    <x v="14"/>
    <x v="11"/>
    <x v="1"/>
    <x v="4"/>
    <x v="6"/>
    <x v="1"/>
    <x v="43"/>
    <x v="23"/>
    <x v="19"/>
    <x v="17"/>
    <x v="0"/>
    <x v="1"/>
    <x v="1"/>
    <x v="2"/>
    <x v="1"/>
    <x v="3"/>
    <x v="1"/>
    <x v="52"/>
    <x v="69"/>
    <x v="82"/>
    <x v="52"/>
    <x v="31"/>
    <x v="23"/>
    <x v="117"/>
    <x v="40"/>
    <x v="5"/>
    <x v="84"/>
    <x v="9"/>
  </r>
  <r>
    <x v="190"/>
    <x v="25"/>
    <x v="7"/>
    <x v="10"/>
    <x v="1"/>
    <x v="77"/>
    <x v="14"/>
    <x v="11"/>
    <x v="3"/>
    <x v="0"/>
    <x v="14"/>
    <x v="1"/>
    <x v="96"/>
    <x v="191"/>
    <x v="19"/>
    <x v="30"/>
    <x v="0"/>
    <x v="1"/>
    <x v="1"/>
    <x v="2"/>
    <x v="1"/>
    <x v="3"/>
    <x v="1"/>
    <x v="263"/>
    <x v="261"/>
    <x v="168"/>
    <x v="128"/>
    <x v="31"/>
    <x v="23"/>
    <x v="21"/>
    <x v="278"/>
    <x v="5"/>
    <x v="26"/>
    <x v="9"/>
  </r>
  <r>
    <x v="191"/>
    <x v="178"/>
    <x v="14"/>
    <x v="10"/>
    <x v="1"/>
    <x v="21"/>
    <x v="14"/>
    <x v="11"/>
    <x v="3"/>
    <x v="4"/>
    <x v="0"/>
    <x v="1"/>
    <x v="52"/>
    <x v="57"/>
    <x v="19"/>
    <x v="30"/>
    <x v="0"/>
    <x v="1"/>
    <x v="1"/>
    <x v="2"/>
    <x v="1"/>
    <x v="3"/>
    <x v="1"/>
    <x v="263"/>
    <x v="261"/>
    <x v="106"/>
    <x v="62"/>
    <x v="31"/>
    <x v="23"/>
    <x v="226"/>
    <x v="89"/>
    <x v="5"/>
    <x v="26"/>
    <x v="9"/>
  </r>
  <r>
    <x v="192"/>
    <x v="10"/>
    <x v="16"/>
    <x v="10"/>
    <x v="1"/>
    <x v="200"/>
    <x v="18"/>
    <x v="15"/>
    <x v="1"/>
    <x v="4"/>
    <x v="14"/>
    <x v="1"/>
    <x v="228"/>
    <x v="56"/>
    <x v="19"/>
    <x v="34"/>
    <x v="0"/>
    <x v="1"/>
    <x v="1"/>
    <x v="2"/>
    <x v="1"/>
    <x v="3"/>
    <x v="1"/>
    <x v="69"/>
    <x v="82"/>
    <x v="9"/>
    <x v="128"/>
    <x v="31"/>
    <x v="23"/>
    <x v="17"/>
    <x v="10"/>
    <x v="5"/>
    <x v="84"/>
    <x v="3"/>
  </r>
  <r>
    <x v="193"/>
    <x v="75"/>
    <x v="25"/>
    <x v="10"/>
    <x v="1"/>
    <x v="48"/>
    <x v="13"/>
    <x v="10"/>
    <x v="3"/>
    <x v="4"/>
    <x v="14"/>
    <x v="1"/>
    <x v="129"/>
    <x v="215"/>
    <x v="19"/>
    <x v="21"/>
    <x v="0"/>
    <x v="1"/>
    <x v="1"/>
    <x v="2"/>
    <x v="1"/>
    <x v="3"/>
    <x v="1"/>
    <x v="14"/>
    <x v="72"/>
    <x v="47"/>
    <x v="128"/>
    <x v="31"/>
    <x v="23"/>
    <x v="70"/>
    <x v="113"/>
    <x v="5"/>
    <x v="6"/>
    <x v="32"/>
  </r>
  <r>
    <x v="194"/>
    <x v="105"/>
    <x v="16"/>
    <x v="10"/>
    <x v="1"/>
    <x v="97"/>
    <x v="18"/>
    <x v="15"/>
    <x v="3"/>
    <x v="1"/>
    <x v="0"/>
    <x v="1"/>
    <x v="123"/>
    <x v="18"/>
    <x v="19"/>
    <x v="56"/>
    <x v="1"/>
    <x v="1"/>
    <x v="0"/>
    <x v="2"/>
    <x v="1"/>
    <x v="3"/>
    <x v="1"/>
    <x v="63"/>
    <x v="110"/>
    <x v="66"/>
    <x v="40"/>
    <x v="31"/>
    <x v="23"/>
    <x v="226"/>
    <x v="28"/>
    <x v="5"/>
    <x v="15"/>
    <x v="15"/>
  </r>
  <r>
    <x v="195"/>
    <x v="197"/>
    <x v="1"/>
    <x v="10"/>
    <x v="1"/>
    <x v="6"/>
    <x v="13"/>
    <x v="10"/>
    <x v="1"/>
    <x v="1"/>
    <x v="6"/>
    <x v="1"/>
    <x v="216"/>
    <x v="40"/>
    <x v="19"/>
    <x v="35"/>
    <x v="1"/>
    <x v="1"/>
    <x v="1"/>
    <x v="3"/>
    <x v="1"/>
    <x v="3"/>
    <x v="1"/>
    <x v="15"/>
    <x v="51"/>
    <x v="168"/>
    <x v="92"/>
    <x v="31"/>
    <x v="23"/>
    <x v="158"/>
    <x v="255"/>
    <x v="5"/>
    <x v="12"/>
    <x v="40"/>
  </r>
  <r>
    <x v="196"/>
    <x v="272"/>
    <x v="1"/>
    <x v="10"/>
    <x v="1"/>
    <x v="7"/>
    <x v="13"/>
    <x v="10"/>
    <x v="1"/>
    <x v="4"/>
    <x v="13"/>
    <x v="0"/>
    <x v="154"/>
    <x v="174"/>
    <x v="14"/>
    <x v="30"/>
    <x v="0"/>
    <x v="1"/>
    <x v="1"/>
    <x v="2"/>
    <x v="1"/>
    <x v="3"/>
    <x v="1"/>
    <x v="111"/>
    <x v="111"/>
    <x v="155"/>
    <x v="128"/>
    <x v="31"/>
    <x v="23"/>
    <x v="226"/>
    <x v="168"/>
    <x v="5"/>
    <x v="84"/>
    <x v="40"/>
  </r>
  <r>
    <x v="197"/>
    <x v="38"/>
    <x v="26"/>
    <x v="10"/>
    <x v="0"/>
    <x v="43"/>
    <x v="12"/>
    <x v="9"/>
    <x v="3"/>
    <x v="4"/>
    <x v="6"/>
    <x v="1"/>
    <x v="189"/>
    <x v="25"/>
    <x v="19"/>
    <x v="46"/>
    <x v="0"/>
    <x v="2"/>
    <x v="0"/>
    <x v="2"/>
    <x v="1"/>
    <x v="3"/>
    <x v="1"/>
    <x v="238"/>
    <x v="203"/>
    <x v="22"/>
    <x v="78"/>
    <x v="31"/>
    <x v="23"/>
    <x v="36"/>
    <x v="16"/>
    <x v="5"/>
    <x v="84"/>
    <x v="20"/>
  </r>
  <r>
    <x v="198"/>
    <x v="123"/>
    <x v="12"/>
    <x v="10"/>
    <x v="0"/>
    <x v="201"/>
    <x v="18"/>
    <x v="15"/>
    <x v="3"/>
    <x v="0"/>
    <x v="13"/>
    <x v="0"/>
    <x v="144"/>
    <x v="178"/>
    <x v="19"/>
    <x v="19"/>
    <x v="0"/>
    <x v="1"/>
    <x v="1"/>
    <x v="2"/>
    <x v="1"/>
    <x v="3"/>
    <x v="1"/>
    <x v="188"/>
    <x v="261"/>
    <x v="168"/>
    <x v="128"/>
    <x v="31"/>
    <x v="23"/>
    <x v="226"/>
    <x v="170"/>
    <x v="5"/>
    <x v="24"/>
    <x v="26"/>
  </r>
  <r>
    <x v="199"/>
    <x v="67"/>
    <x v="1"/>
    <x v="10"/>
    <x v="1"/>
    <x v="114"/>
    <x v="18"/>
    <x v="15"/>
    <x v="3"/>
    <x v="3"/>
    <x v="6"/>
    <x v="1"/>
    <x v="155"/>
    <x v="210"/>
    <x v="19"/>
    <x v="33"/>
    <x v="2"/>
    <x v="1"/>
    <x v="1"/>
    <x v="4"/>
    <x v="0"/>
    <x v="3"/>
    <x v="1"/>
    <x v="156"/>
    <x v="47"/>
    <x v="42"/>
    <x v="30"/>
    <x v="31"/>
    <x v="23"/>
    <x v="62"/>
    <x v="166"/>
    <x v="5"/>
    <x v="84"/>
    <x v="19"/>
  </r>
  <r>
    <x v="200"/>
    <x v="138"/>
    <x v="6"/>
    <x v="10"/>
    <x v="0"/>
    <x v="47"/>
    <x v="7"/>
    <x v="4"/>
    <x v="3"/>
    <x v="2"/>
    <x v="6"/>
    <x v="1"/>
    <x v="237"/>
    <x v="228"/>
    <x v="19"/>
    <x v="56"/>
    <x v="2"/>
    <x v="1"/>
    <x v="0"/>
    <x v="3"/>
    <x v="1"/>
    <x v="3"/>
    <x v="1"/>
    <x v="98"/>
    <x v="167"/>
    <x v="168"/>
    <x v="49"/>
    <x v="31"/>
    <x v="23"/>
    <x v="113"/>
    <x v="142"/>
    <x v="5"/>
    <x v="62"/>
    <x v="19"/>
  </r>
  <r>
    <x v="201"/>
    <x v="11"/>
    <x v="14"/>
    <x v="6"/>
    <x v="1"/>
    <x v="113"/>
    <x v="6"/>
    <x v="4"/>
    <x v="1"/>
    <x v="3"/>
    <x v="14"/>
    <x v="1"/>
    <x v="168"/>
    <x v="188"/>
    <x v="19"/>
    <x v="49"/>
    <x v="2"/>
    <x v="1"/>
    <x v="0"/>
    <x v="3"/>
    <x v="1"/>
    <x v="3"/>
    <x v="1"/>
    <x v="150"/>
    <x v="34"/>
    <x v="4"/>
    <x v="128"/>
    <x v="31"/>
    <x v="23"/>
    <x v="10"/>
    <x v="70"/>
    <x v="5"/>
    <x v="84"/>
    <x v="19"/>
  </r>
  <r>
    <x v="202"/>
    <x v="184"/>
    <x v="14"/>
    <x v="6"/>
    <x v="1"/>
    <x v="180"/>
    <x v="18"/>
    <x v="15"/>
    <x v="3"/>
    <x v="4"/>
    <x v="14"/>
    <x v="1"/>
    <x v="10"/>
    <x v="244"/>
    <x v="19"/>
    <x v="35"/>
    <x v="0"/>
    <x v="1"/>
    <x v="1"/>
    <x v="2"/>
    <x v="1"/>
    <x v="3"/>
    <x v="1"/>
    <x v="152"/>
    <x v="30"/>
    <x v="158"/>
    <x v="128"/>
    <x v="31"/>
    <x v="23"/>
    <x v="145"/>
    <x v="161"/>
    <x v="5"/>
    <x v="84"/>
    <x v="19"/>
  </r>
  <r>
    <x v="203"/>
    <x v="229"/>
    <x v="14"/>
    <x v="6"/>
    <x v="1"/>
    <x v="179"/>
    <x v="18"/>
    <x v="15"/>
    <x v="0"/>
    <x v="2"/>
    <x v="14"/>
    <x v="1"/>
    <x v="230"/>
    <x v="260"/>
    <x v="19"/>
    <x v="56"/>
    <x v="2"/>
    <x v="1"/>
    <x v="0"/>
    <x v="3"/>
    <x v="1"/>
    <x v="3"/>
    <x v="1"/>
    <x v="153"/>
    <x v="31"/>
    <x v="168"/>
    <x v="128"/>
    <x v="31"/>
    <x v="23"/>
    <x v="182"/>
    <x v="261"/>
    <x v="5"/>
    <x v="62"/>
    <x v="19"/>
  </r>
  <r>
    <x v="204"/>
    <x v="194"/>
    <x v="14"/>
    <x v="6"/>
    <x v="1"/>
    <x v="116"/>
    <x v="6"/>
    <x v="4"/>
    <x v="1"/>
    <x v="4"/>
    <x v="9"/>
    <x v="1"/>
    <x v="38"/>
    <x v="34"/>
    <x v="19"/>
    <x v="12"/>
    <x v="0"/>
    <x v="1"/>
    <x v="1"/>
    <x v="2"/>
    <x v="1"/>
    <x v="3"/>
    <x v="1"/>
    <x v="151"/>
    <x v="27"/>
    <x v="115"/>
    <x v="128"/>
    <x v="18"/>
    <x v="23"/>
    <x v="155"/>
    <x v="139"/>
    <x v="5"/>
    <x v="84"/>
    <x v="19"/>
  </r>
  <r>
    <x v="205"/>
    <x v="82"/>
    <x v="15"/>
    <x v="10"/>
    <x v="1"/>
    <x v="158"/>
    <x v="6"/>
    <x v="4"/>
    <x v="3"/>
    <x v="3"/>
    <x v="6"/>
    <x v="1"/>
    <x v="37"/>
    <x v="15"/>
    <x v="19"/>
    <x v="11"/>
    <x v="2"/>
    <x v="1"/>
    <x v="1"/>
    <x v="4"/>
    <x v="0"/>
    <x v="3"/>
    <x v="1"/>
    <x v="191"/>
    <x v="61"/>
    <x v="53"/>
    <x v="33"/>
    <x v="31"/>
    <x v="23"/>
    <x v="75"/>
    <x v="31"/>
    <x v="5"/>
    <x v="84"/>
    <x v="29"/>
  </r>
  <r>
    <x v="206"/>
    <x v="81"/>
    <x v="6"/>
    <x v="10"/>
    <x v="0"/>
    <x v="157"/>
    <x v="6"/>
    <x v="4"/>
    <x v="3"/>
    <x v="3"/>
    <x v="6"/>
    <x v="1"/>
    <x v="17"/>
    <x v="217"/>
    <x v="19"/>
    <x v="56"/>
    <x v="2"/>
    <x v="1"/>
    <x v="0"/>
    <x v="3"/>
    <x v="1"/>
    <x v="3"/>
    <x v="1"/>
    <x v="116"/>
    <x v="215"/>
    <x v="52"/>
    <x v="34"/>
    <x v="31"/>
    <x v="23"/>
    <x v="74"/>
    <x v="30"/>
    <x v="5"/>
    <x v="84"/>
    <x v="29"/>
  </r>
  <r>
    <x v="207"/>
    <x v="157"/>
    <x v="14"/>
    <x v="4"/>
    <x v="1"/>
    <x v="160"/>
    <x v="6"/>
    <x v="4"/>
    <x v="1"/>
    <x v="1"/>
    <x v="6"/>
    <x v="1"/>
    <x v="72"/>
    <x v="252"/>
    <x v="19"/>
    <x v="22"/>
    <x v="1"/>
    <x v="1"/>
    <x v="1"/>
    <x v="3"/>
    <x v="1"/>
    <x v="3"/>
    <x v="1"/>
    <x v="38"/>
    <x v="130"/>
    <x v="121"/>
    <x v="93"/>
    <x v="31"/>
    <x v="23"/>
    <x v="162"/>
    <x v="66"/>
    <x v="5"/>
    <x v="84"/>
    <x v="29"/>
  </r>
  <r>
    <x v="208"/>
    <x v="183"/>
    <x v="9"/>
    <x v="10"/>
    <x v="0"/>
    <x v="114"/>
    <x v="6"/>
    <x v="4"/>
    <x v="3"/>
    <x v="1"/>
    <x v="3"/>
    <x v="1"/>
    <x v="111"/>
    <x v="243"/>
    <x v="19"/>
    <x v="13"/>
    <x v="1"/>
    <x v="1"/>
    <x v="1"/>
    <x v="3"/>
    <x v="1"/>
    <x v="3"/>
    <x v="1"/>
    <x v="141"/>
    <x v="256"/>
    <x v="110"/>
    <x v="65"/>
    <x v="16"/>
    <x v="23"/>
    <x v="144"/>
    <x v="39"/>
    <x v="5"/>
    <x v="84"/>
    <x v="19"/>
  </r>
  <r>
    <x v="209"/>
    <x v="77"/>
    <x v="0"/>
    <x v="10"/>
    <x v="1"/>
    <x v="181"/>
    <x v="18"/>
    <x v="15"/>
    <x v="1"/>
    <x v="4"/>
    <x v="14"/>
    <x v="1"/>
    <x v="7"/>
    <x v="216"/>
    <x v="19"/>
    <x v="56"/>
    <x v="0"/>
    <x v="1"/>
    <x v="0"/>
    <x v="1"/>
    <x v="2"/>
    <x v="3"/>
    <x v="1"/>
    <x v="97"/>
    <x v="52"/>
    <x v="50"/>
    <x v="128"/>
    <x v="31"/>
    <x v="23"/>
    <x v="71"/>
    <x v="107"/>
    <x v="5"/>
    <x v="84"/>
    <x v="19"/>
  </r>
  <r>
    <x v="210"/>
    <x v="40"/>
    <x v="6"/>
    <x v="10"/>
    <x v="0"/>
    <x v="111"/>
    <x v="6"/>
    <x v="4"/>
    <x v="3"/>
    <x v="4"/>
    <x v="11"/>
    <x v="1"/>
    <x v="138"/>
    <x v="6"/>
    <x v="19"/>
    <x v="1"/>
    <x v="0"/>
    <x v="1"/>
    <x v="1"/>
    <x v="2"/>
    <x v="1"/>
    <x v="3"/>
    <x v="1"/>
    <x v="249"/>
    <x v="201"/>
    <x v="23"/>
    <x v="128"/>
    <x v="31"/>
    <x v="3"/>
    <x v="38"/>
    <x v="17"/>
    <x v="5"/>
    <x v="84"/>
    <x v="19"/>
  </r>
  <r>
    <x v="211"/>
    <x v="186"/>
    <x v="9"/>
    <x v="10"/>
    <x v="0"/>
    <x v="117"/>
    <x v="7"/>
    <x v="4"/>
    <x v="3"/>
    <x v="4"/>
    <x v="6"/>
    <x v="1"/>
    <x v="71"/>
    <x v="245"/>
    <x v="19"/>
    <x v="6"/>
    <x v="0"/>
    <x v="1"/>
    <x v="1"/>
    <x v="2"/>
    <x v="1"/>
    <x v="3"/>
    <x v="1"/>
    <x v="92"/>
    <x v="246"/>
    <x v="111"/>
    <x v="66"/>
    <x v="31"/>
    <x v="23"/>
    <x v="147"/>
    <x v="62"/>
    <x v="5"/>
    <x v="84"/>
    <x v="19"/>
  </r>
  <r>
    <x v="212"/>
    <x v="62"/>
    <x v="9"/>
    <x v="10"/>
    <x v="0"/>
    <x v="47"/>
    <x v="7"/>
    <x v="4"/>
    <x v="3"/>
    <x v="4"/>
    <x v="6"/>
    <x v="1"/>
    <x v="126"/>
    <x v="9"/>
    <x v="19"/>
    <x v="56"/>
    <x v="0"/>
    <x v="1"/>
    <x v="0"/>
    <x v="1"/>
    <x v="2"/>
    <x v="3"/>
    <x v="1"/>
    <x v="109"/>
    <x v="249"/>
    <x v="37"/>
    <x v="27"/>
    <x v="31"/>
    <x v="23"/>
    <x v="58"/>
    <x v="24"/>
    <x v="5"/>
    <x v="84"/>
    <x v="19"/>
  </r>
  <r>
    <x v="213"/>
    <x v="151"/>
    <x v="14"/>
    <x v="8"/>
    <x v="1"/>
    <x v="109"/>
    <x v="7"/>
    <x v="4"/>
    <x v="3"/>
    <x v="3"/>
    <x v="3"/>
    <x v="1"/>
    <x v="74"/>
    <x v="233"/>
    <x v="19"/>
    <x v="24"/>
    <x v="2"/>
    <x v="1"/>
    <x v="1"/>
    <x v="4"/>
    <x v="0"/>
    <x v="3"/>
    <x v="1"/>
    <x v="212"/>
    <x v="17"/>
    <x v="87"/>
    <x v="84"/>
    <x v="10"/>
    <x v="23"/>
    <x v="123"/>
    <x v="143"/>
    <x v="5"/>
    <x v="51"/>
    <x v="19"/>
  </r>
  <r>
    <x v="214"/>
    <x v="207"/>
    <x v="14"/>
    <x v="4"/>
    <x v="1"/>
    <x v="73"/>
    <x v="7"/>
    <x v="4"/>
    <x v="3"/>
    <x v="4"/>
    <x v="6"/>
    <x v="1"/>
    <x v="146"/>
    <x v="254"/>
    <x v="19"/>
    <x v="21"/>
    <x v="0"/>
    <x v="1"/>
    <x v="1"/>
    <x v="2"/>
    <x v="1"/>
    <x v="3"/>
    <x v="1"/>
    <x v="65"/>
    <x v="65"/>
    <x v="125"/>
    <x v="101"/>
    <x v="31"/>
    <x v="23"/>
    <x v="167"/>
    <x v="21"/>
    <x v="5"/>
    <x v="84"/>
    <x v="19"/>
  </r>
  <r>
    <x v="215"/>
    <x v="70"/>
    <x v="14"/>
    <x v="4"/>
    <x v="1"/>
    <x v="72"/>
    <x v="7"/>
    <x v="4"/>
    <x v="3"/>
    <x v="1"/>
    <x v="6"/>
    <x v="1"/>
    <x v="13"/>
    <x v="213"/>
    <x v="19"/>
    <x v="31"/>
    <x v="1"/>
    <x v="1"/>
    <x v="1"/>
    <x v="3"/>
    <x v="1"/>
    <x v="3"/>
    <x v="1"/>
    <x v="108"/>
    <x v="64"/>
    <x v="44"/>
    <x v="82"/>
    <x v="31"/>
    <x v="23"/>
    <x v="65"/>
    <x v="91"/>
    <x v="5"/>
    <x v="15"/>
    <x v="19"/>
  </r>
  <r>
    <x v="216"/>
    <x v="257"/>
    <x v="14"/>
    <x v="3"/>
    <x v="1"/>
    <x v="170"/>
    <x v="6"/>
    <x v="4"/>
    <x v="3"/>
    <x v="3"/>
    <x v="14"/>
    <x v="1"/>
    <x v="243"/>
    <x v="28"/>
    <x v="19"/>
    <x v="56"/>
    <x v="2"/>
    <x v="1"/>
    <x v="0"/>
    <x v="3"/>
    <x v="1"/>
    <x v="3"/>
    <x v="1"/>
    <x v="217"/>
    <x v="75"/>
    <x v="151"/>
    <x v="128"/>
    <x v="31"/>
    <x v="23"/>
    <x v="0"/>
    <x v="154"/>
    <x v="5"/>
    <x v="51"/>
    <x v="31"/>
  </r>
  <r>
    <x v="217"/>
    <x v="26"/>
    <x v="14"/>
    <x v="8"/>
    <x v="1"/>
    <x v="171"/>
    <x v="6"/>
    <x v="4"/>
    <x v="1"/>
    <x v="4"/>
    <x v="3"/>
    <x v="1"/>
    <x v="163"/>
    <x v="192"/>
    <x v="19"/>
    <x v="47"/>
    <x v="0"/>
    <x v="1"/>
    <x v="0"/>
    <x v="1"/>
    <x v="2"/>
    <x v="3"/>
    <x v="1"/>
    <x v="9"/>
    <x v="2"/>
    <x v="15"/>
    <x v="13"/>
    <x v="3"/>
    <x v="23"/>
    <x v="22"/>
    <x v="214"/>
    <x v="5"/>
    <x v="84"/>
    <x v="31"/>
  </r>
  <r>
    <x v="218"/>
    <x v="144"/>
    <x v="14"/>
    <x v="0"/>
    <x v="1"/>
    <x v="134"/>
    <x v="5"/>
    <x v="3"/>
    <x v="1"/>
    <x v="4"/>
    <x v="5"/>
    <x v="1"/>
    <x v="220"/>
    <x v="24"/>
    <x v="8"/>
    <x v="26"/>
    <x v="0"/>
    <x v="1"/>
    <x v="1"/>
    <x v="2"/>
    <x v="1"/>
    <x v="3"/>
    <x v="1"/>
    <x v="110"/>
    <x v="86"/>
    <x v="83"/>
    <x v="51"/>
    <x v="31"/>
    <x v="13"/>
    <x v="118"/>
    <x v="92"/>
    <x v="5"/>
    <x v="84"/>
    <x v="31"/>
  </r>
  <r>
    <x v="219"/>
    <x v="22"/>
    <x v="14"/>
    <x v="6"/>
    <x v="1"/>
    <x v="110"/>
    <x v="6"/>
    <x v="4"/>
    <x v="1"/>
    <x v="4"/>
    <x v="14"/>
    <x v="1"/>
    <x v="146"/>
    <x v="33"/>
    <x v="19"/>
    <x v="21"/>
    <x v="0"/>
    <x v="1"/>
    <x v="1"/>
    <x v="2"/>
    <x v="1"/>
    <x v="3"/>
    <x v="1"/>
    <x v="149"/>
    <x v="33"/>
    <x v="19"/>
    <x v="128"/>
    <x v="31"/>
    <x v="23"/>
    <x v="28"/>
    <x v="76"/>
    <x v="5"/>
    <x v="7"/>
    <x v="19"/>
  </r>
  <r>
    <x v="220"/>
    <x v="150"/>
    <x v="19"/>
    <x v="10"/>
    <x v="1"/>
    <x v="159"/>
    <x v="6"/>
    <x v="4"/>
    <x v="1"/>
    <x v="2"/>
    <x v="14"/>
    <x v="1"/>
    <x v="98"/>
    <x v="232"/>
    <x v="19"/>
    <x v="31"/>
    <x v="2"/>
    <x v="1"/>
    <x v="1"/>
    <x v="4"/>
    <x v="0"/>
    <x v="3"/>
    <x v="1"/>
    <x v="182"/>
    <x v="152"/>
    <x v="168"/>
    <x v="128"/>
    <x v="31"/>
    <x v="23"/>
    <x v="122"/>
    <x v="204"/>
    <x v="5"/>
    <x v="62"/>
    <x v="29"/>
  </r>
  <r>
    <x v="221"/>
    <x v="111"/>
    <x v="15"/>
    <x v="10"/>
    <x v="1"/>
    <x v="160"/>
    <x v="6"/>
    <x v="4"/>
    <x v="3"/>
    <x v="1"/>
    <x v="6"/>
    <x v="1"/>
    <x v="20"/>
    <x v="220"/>
    <x v="19"/>
    <x v="56"/>
    <x v="1"/>
    <x v="1"/>
    <x v="0"/>
    <x v="2"/>
    <x v="1"/>
    <x v="3"/>
    <x v="1"/>
    <x v="210"/>
    <x v="131"/>
    <x v="68"/>
    <x v="43"/>
    <x v="31"/>
    <x v="23"/>
    <x v="94"/>
    <x v="36"/>
    <x v="5"/>
    <x v="59"/>
    <x v="29"/>
  </r>
  <r>
    <x v="222"/>
    <x v="121"/>
    <x v="1"/>
    <x v="10"/>
    <x v="1"/>
    <x v="112"/>
    <x v="6"/>
    <x v="4"/>
    <x v="2"/>
    <x v="4"/>
    <x v="6"/>
    <x v="1"/>
    <x v="139"/>
    <x v="92"/>
    <x v="0"/>
    <x v="2"/>
    <x v="0"/>
    <x v="1"/>
    <x v="1"/>
    <x v="2"/>
    <x v="1"/>
    <x v="3"/>
    <x v="1"/>
    <x v="112"/>
    <x v="44"/>
    <x v="75"/>
    <x v="44"/>
    <x v="31"/>
    <x v="23"/>
    <x v="101"/>
    <x v="122"/>
    <x v="5"/>
    <x v="84"/>
    <x v="19"/>
  </r>
  <r>
    <x v="223"/>
    <x v="224"/>
    <x v="14"/>
    <x v="3"/>
    <x v="1"/>
    <x v="115"/>
    <x v="6"/>
    <x v="4"/>
    <x v="3"/>
    <x v="4"/>
    <x v="5"/>
    <x v="1"/>
    <x v="47"/>
    <x v="259"/>
    <x v="19"/>
    <x v="25"/>
    <x v="0"/>
    <x v="1"/>
    <x v="1"/>
    <x v="2"/>
    <x v="1"/>
    <x v="3"/>
    <x v="1"/>
    <x v="142"/>
    <x v="35"/>
    <x v="132"/>
    <x v="108"/>
    <x v="31"/>
    <x v="18"/>
    <x v="179"/>
    <x v="90"/>
    <x v="5"/>
    <x v="84"/>
    <x v="19"/>
  </r>
  <r>
    <x v="224"/>
    <x v="276"/>
    <x v="14"/>
    <x v="1"/>
    <x v="1"/>
    <x v="179"/>
    <x v="18"/>
    <x v="15"/>
    <x v="1"/>
    <x v="3"/>
    <x v="14"/>
    <x v="1"/>
    <x v="217"/>
    <x v="277"/>
    <x v="19"/>
    <x v="35"/>
    <x v="2"/>
    <x v="1"/>
    <x v="1"/>
    <x v="4"/>
    <x v="0"/>
    <x v="3"/>
    <x v="1"/>
    <x v="242"/>
    <x v="56"/>
    <x v="157"/>
    <x v="128"/>
    <x v="31"/>
    <x v="23"/>
    <x v="219"/>
    <x v="155"/>
    <x v="5"/>
    <x v="51"/>
    <x v="19"/>
  </r>
  <r>
    <x v="225"/>
    <x v="133"/>
    <x v="11"/>
    <x v="10"/>
    <x v="1"/>
    <x v="118"/>
    <x v="7"/>
    <x v="4"/>
    <x v="3"/>
    <x v="1"/>
    <x v="14"/>
    <x v="1"/>
    <x v="97"/>
    <x v="225"/>
    <x v="19"/>
    <x v="31"/>
    <x v="1"/>
    <x v="1"/>
    <x v="1"/>
    <x v="3"/>
    <x v="1"/>
    <x v="3"/>
    <x v="1"/>
    <x v="50"/>
    <x v="36"/>
    <x v="168"/>
    <x v="128"/>
    <x v="31"/>
    <x v="23"/>
    <x v="108"/>
    <x v="141"/>
    <x v="5"/>
    <x v="62"/>
    <x v="19"/>
  </r>
  <r>
    <x v="226"/>
    <x v="41"/>
    <x v="11"/>
    <x v="10"/>
    <x v="1"/>
    <x v="108"/>
    <x v="6"/>
    <x v="4"/>
    <x v="3"/>
    <x v="4"/>
    <x v="14"/>
    <x v="1"/>
    <x v="99"/>
    <x v="7"/>
    <x v="19"/>
    <x v="32"/>
    <x v="0"/>
    <x v="1"/>
    <x v="1"/>
    <x v="2"/>
    <x v="1"/>
    <x v="3"/>
    <x v="1"/>
    <x v="214"/>
    <x v="20"/>
    <x v="24"/>
    <x v="128"/>
    <x v="31"/>
    <x v="23"/>
    <x v="39"/>
    <x v="18"/>
    <x v="5"/>
    <x v="84"/>
    <x v="19"/>
  </r>
  <r>
    <x v="227"/>
    <x v="277"/>
    <x v="20"/>
    <x v="10"/>
    <x v="1"/>
    <x v="55"/>
    <x v="7"/>
    <x v="4"/>
    <x v="3"/>
    <x v="4"/>
    <x v="14"/>
    <x v="1"/>
    <x v="128"/>
    <x v="176"/>
    <x v="19"/>
    <x v="40"/>
    <x v="0"/>
    <x v="1"/>
    <x v="1"/>
    <x v="2"/>
    <x v="1"/>
    <x v="3"/>
    <x v="1"/>
    <x v="70"/>
    <x v="165"/>
    <x v="159"/>
    <x v="128"/>
    <x v="31"/>
    <x v="23"/>
    <x v="220"/>
    <x v="162"/>
    <x v="5"/>
    <x v="84"/>
    <x v="19"/>
  </r>
  <r>
    <x v="228"/>
    <x v="45"/>
    <x v="6"/>
    <x v="10"/>
    <x v="0"/>
    <x v="72"/>
    <x v="7"/>
    <x v="4"/>
    <x v="3"/>
    <x v="4"/>
    <x v="14"/>
    <x v="1"/>
    <x v="115"/>
    <x v="75"/>
    <x v="19"/>
    <x v="31"/>
    <x v="0"/>
    <x v="1"/>
    <x v="1"/>
    <x v="2"/>
    <x v="1"/>
    <x v="3"/>
    <x v="1"/>
    <x v="126"/>
    <x v="261"/>
    <x v="27"/>
    <x v="128"/>
    <x v="31"/>
    <x v="23"/>
    <x v="43"/>
    <x v="221"/>
    <x v="5"/>
    <x v="24"/>
    <x v="19"/>
  </r>
  <r>
    <x v="229"/>
    <x v="39"/>
    <x v="1"/>
    <x v="10"/>
    <x v="1"/>
    <x v="14"/>
    <x v="18"/>
    <x v="15"/>
    <x v="3"/>
    <x v="0"/>
    <x v="14"/>
    <x v="1"/>
    <x v="11"/>
    <x v="200"/>
    <x v="19"/>
    <x v="56"/>
    <x v="0"/>
    <x v="1"/>
    <x v="0"/>
    <x v="1"/>
    <x v="2"/>
    <x v="3"/>
    <x v="1"/>
    <x v="48"/>
    <x v="57"/>
    <x v="168"/>
    <x v="128"/>
    <x v="31"/>
    <x v="23"/>
    <x v="37"/>
    <x v="64"/>
    <x v="5"/>
    <x v="84"/>
    <x v="25"/>
  </r>
  <r>
    <x v="230"/>
    <x v="159"/>
    <x v="1"/>
    <x v="10"/>
    <x v="1"/>
    <x v="195"/>
    <x v="18"/>
    <x v="15"/>
    <x v="3"/>
    <x v="2"/>
    <x v="6"/>
    <x v="1"/>
    <x v="131"/>
    <x v="235"/>
    <x v="19"/>
    <x v="56"/>
    <x v="2"/>
    <x v="1"/>
    <x v="0"/>
    <x v="3"/>
    <x v="1"/>
    <x v="3"/>
    <x v="1"/>
    <x v="177"/>
    <x v="98"/>
    <x v="168"/>
    <x v="88"/>
    <x v="31"/>
    <x v="23"/>
    <x v="128"/>
    <x v="167"/>
    <x v="5"/>
    <x v="62"/>
    <x v="25"/>
  </r>
  <r>
    <x v="231"/>
    <x v="235"/>
    <x v="1"/>
    <x v="10"/>
    <x v="1"/>
    <x v="187"/>
    <x v="6"/>
    <x v="4"/>
    <x v="3"/>
    <x v="1"/>
    <x v="14"/>
    <x v="1"/>
    <x v="125"/>
    <x v="262"/>
    <x v="19"/>
    <x v="26"/>
    <x v="1"/>
    <x v="1"/>
    <x v="1"/>
    <x v="3"/>
    <x v="1"/>
    <x v="3"/>
    <x v="1"/>
    <x v="106"/>
    <x v="164"/>
    <x v="137"/>
    <x v="128"/>
    <x v="31"/>
    <x v="23"/>
    <x v="185"/>
    <x v="71"/>
    <x v="5"/>
    <x v="15"/>
    <x v="25"/>
  </r>
  <r>
    <x v="232"/>
    <x v="208"/>
    <x v="6"/>
    <x v="10"/>
    <x v="0"/>
    <x v="36"/>
    <x v="6"/>
    <x v="4"/>
    <x v="1"/>
    <x v="3"/>
    <x v="6"/>
    <x v="1"/>
    <x v="40"/>
    <x v="166"/>
    <x v="19"/>
    <x v="13"/>
    <x v="2"/>
    <x v="1"/>
    <x v="1"/>
    <x v="4"/>
    <x v="0"/>
    <x v="3"/>
    <x v="1"/>
    <x v="29"/>
    <x v="202"/>
    <x v="126"/>
    <x v="94"/>
    <x v="31"/>
    <x v="23"/>
    <x v="168"/>
    <x v="144"/>
    <x v="5"/>
    <x v="84"/>
    <x v="25"/>
  </r>
  <r>
    <x v="233"/>
    <x v="58"/>
    <x v="6"/>
    <x v="10"/>
    <x v="0"/>
    <x v="38"/>
    <x v="6"/>
    <x v="4"/>
    <x v="3"/>
    <x v="4"/>
    <x v="6"/>
    <x v="1"/>
    <x v="50"/>
    <x v="205"/>
    <x v="19"/>
    <x v="28"/>
    <x v="0"/>
    <x v="1"/>
    <x v="1"/>
    <x v="2"/>
    <x v="1"/>
    <x v="3"/>
    <x v="1"/>
    <x v="201"/>
    <x v="208"/>
    <x v="34"/>
    <x v="23"/>
    <x v="31"/>
    <x v="23"/>
    <x v="52"/>
    <x v="178"/>
    <x v="5"/>
    <x v="84"/>
    <x v="25"/>
  </r>
  <r>
    <x v="234"/>
    <x v="200"/>
    <x v="14"/>
    <x v="9"/>
    <x v="1"/>
    <x v="133"/>
    <x v="5"/>
    <x v="3"/>
    <x v="0"/>
    <x v="4"/>
    <x v="6"/>
    <x v="1"/>
    <x v="181"/>
    <x v="251"/>
    <x v="19"/>
    <x v="9"/>
    <x v="0"/>
    <x v="1"/>
    <x v="1"/>
    <x v="2"/>
    <x v="1"/>
    <x v="3"/>
    <x v="1"/>
    <x v="236"/>
    <x v="25"/>
    <x v="119"/>
    <x v="73"/>
    <x v="31"/>
    <x v="23"/>
    <x v="160"/>
    <x v="65"/>
    <x v="5"/>
    <x v="84"/>
    <x v="25"/>
  </r>
  <r>
    <x v="235"/>
    <x v="161"/>
    <x v="14"/>
    <x v="9"/>
    <x v="1"/>
    <x v="131"/>
    <x v="5"/>
    <x v="3"/>
    <x v="3"/>
    <x v="1"/>
    <x v="0"/>
    <x v="1"/>
    <x v="256"/>
    <x v="183"/>
    <x v="19"/>
    <x v="56"/>
    <x v="1"/>
    <x v="1"/>
    <x v="0"/>
    <x v="2"/>
    <x v="1"/>
    <x v="3"/>
    <x v="1"/>
    <x v="120"/>
    <x v="183"/>
    <x v="94"/>
    <x v="56"/>
    <x v="31"/>
    <x v="23"/>
    <x v="226"/>
    <x v="57"/>
    <x v="5"/>
    <x v="59"/>
    <x v="25"/>
  </r>
  <r>
    <x v="236"/>
    <x v="99"/>
    <x v="5"/>
    <x v="10"/>
    <x v="1"/>
    <x v="206"/>
    <x v="6"/>
    <x v="4"/>
    <x v="3"/>
    <x v="1"/>
    <x v="1"/>
    <x v="1"/>
    <x v="147"/>
    <x v="17"/>
    <x v="19"/>
    <x v="23"/>
    <x v="1"/>
    <x v="1"/>
    <x v="1"/>
    <x v="3"/>
    <x v="1"/>
    <x v="3"/>
    <x v="1"/>
    <x v="115"/>
    <x v="49"/>
    <x v="62"/>
    <x v="20"/>
    <x v="9"/>
    <x v="23"/>
    <x v="226"/>
    <x v="55"/>
    <x v="5"/>
    <x v="15"/>
    <x v="25"/>
  </r>
  <r>
    <x v="237"/>
    <x v="215"/>
    <x v="2"/>
    <x v="10"/>
    <x v="0"/>
    <x v="194"/>
    <x v="18"/>
    <x v="15"/>
    <x v="1"/>
    <x v="2"/>
    <x v="14"/>
    <x v="1"/>
    <x v="161"/>
    <x v="255"/>
    <x v="19"/>
    <x v="40"/>
    <x v="2"/>
    <x v="1"/>
    <x v="1"/>
    <x v="4"/>
    <x v="0"/>
    <x v="3"/>
    <x v="1"/>
    <x v="259"/>
    <x v="229"/>
    <x v="168"/>
    <x v="128"/>
    <x v="31"/>
    <x v="23"/>
    <x v="172"/>
    <x v="103"/>
    <x v="5"/>
    <x v="62"/>
    <x v="25"/>
  </r>
  <r>
    <x v="238"/>
    <x v="122"/>
    <x v="2"/>
    <x v="10"/>
    <x v="0"/>
    <x v="37"/>
    <x v="6"/>
    <x v="4"/>
    <x v="3"/>
    <x v="4"/>
    <x v="6"/>
    <x v="1"/>
    <x v="158"/>
    <x v="22"/>
    <x v="19"/>
    <x v="35"/>
    <x v="0"/>
    <x v="1"/>
    <x v="1"/>
    <x v="2"/>
    <x v="1"/>
    <x v="3"/>
    <x v="1"/>
    <x v="174"/>
    <x v="227"/>
    <x v="76"/>
    <x v="45"/>
    <x v="31"/>
    <x v="23"/>
    <x v="102"/>
    <x v="169"/>
    <x v="5"/>
    <x v="84"/>
    <x v="25"/>
  </r>
  <r>
    <x v="239"/>
    <x v="29"/>
    <x v="15"/>
    <x v="10"/>
    <x v="1"/>
    <x v="211"/>
    <x v="6"/>
    <x v="4"/>
    <x v="3"/>
    <x v="2"/>
    <x v="3"/>
    <x v="1"/>
    <x v="175"/>
    <x v="194"/>
    <x v="19"/>
    <x v="52"/>
    <x v="2"/>
    <x v="1"/>
    <x v="0"/>
    <x v="3"/>
    <x v="1"/>
    <x v="3"/>
    <x v="1"/>
    <x v="26"/>
    <x v="104"/>
    <x v="168"/>
    <x v="16"/>
    <x v="4"/>
    <x v="23"/>
    <x v="25"/>
    <x v="215"/>
    <x v="5"/>
    <x v="62"/>
    <x v="25"/>
  </r>
  <r>
    <x v="240"/>
    <x v="106"/>
    <x v="14"/>
    <x v="4"/>
    <x v="1"/>
    <x v="100"/>
    <x v="6"/>
    <x v="4"/>
    <x v="3"/>
    <x v="1"/>
    <x v="6"/>
    <x v="1"/>
    <x v="110"/>
    <x v="94"/>
    <x v="19"/>
    <x v="13"/>
    <x v="1"/>
    <x v="1"/>
    <x v="1"/>
    <x v="3"/>
    <x v="1"/>
    <x v="3"/>
    <x v="1"/>
    <x v="45"/>
    <x v="187"/>
    <x v="168"/>
    <x v="123"/>
    <x v="31"/>
    <x v="23"/>
    <x v="205"/>
    <x v="15"/>
    <x v="5"/>
    <x v="51"/>
    <x v="25"/>
  </r>
  <r>
    <x v="241"/>
    <x v="145"/>
    <x v="27"/>
    <x v="10"/>
    <x v="1"/>
    <x v="89"/>
    <x v="2"/>
    <x v="2"/>
    <x v="3"/>
    <x v="4"/>
    <x v="0"/>
    <x v="1"/>
    <x v="73"/>
    <x v="91"/>
    <x v="19"/>
    <x v="56"/>
    <x v="0"/>
    <x v="1"/>
    <x v="0"/>
    <x v="1"/>
    <x v="2"/>
    <x v="3"/>
    <x v="1"/>
    <x v="194"/>
    <x v="18"/>
    <x v="131"/>
    <x v="106"/>
    <x v="31"/>
    <x v="23"/>
    <x v="226"/>
    <x v="208"/>
    <x v="5"/>
    <x v="84"/>
    <x v="25"/>
  </r>
  <r>
    <x v="242"/>
    <x v="118"/>
    <x v="28"/>
    <x v="10"/>
    <x v="0"/>
    <x v="40"/>
    <x v="6"/>
    <x v="4"/>
    <x v="3"/>
    <x v="2"/>
    <x v="14"/>
    <x v="1"/>
    <x v="2"/>
    <x v="172"/>
    <x v="19"/>
    <x v="48"/>
    <x v="2"/>
    <x v="1"/>
    <x v="0"/>
    <x v="3"/>
    <x v="1"/>
    <x v="3"/>
    <x v="1"/>
    <x v="170"/>
    <x v="242"/>
    <x v="168"/>
    <x v="128"/>
    <x v="31"/>
    <x v="23"/>
    <x v="99"/>
    <x v="209"/>
    <x v="5"/>
    <x v="62"/>
    <x v="25"/>
  </r>
  <r>
    <x v="243"/>
    <x v="239"/>
    <x v="14"/>
    <x v="5"/>
    <x v="1"/>
    <x v="46"/>
    <x v="6"/>
    <x v="4"/>
    <x v="1"/>
    <x v="4"/>
    <x v="14"/>
    <x v="1"/>
    <x v="145"/>
    <x v="35"/>
    <x v="19"/>
    <x v="20"/>
    <x v="0"/>
    <x v="1"/>
    <x v="1"/>
    <x v="2"/>
    <x v="1"/>
    <x v="3"/>
    <x v="1"/>
    <x v="7"/>
    <x v="29"/>
    <x v="139"/>
    <x v="128"/>
    <x v="31"/>
    <x v="23"/>
    <x v="187"/>
    <x v="262"/>
    <x v="5"/>
    <x v="84"/>
    <x v="25"/>
  </r>
  <r>
    <x v="244"/>
    <x v="209"/>
    <x v="21"/>
    <x v="10"/>
    <x v="0"/>
    <x v="15"/>
    <x v="18"/>
    <x v="15"/>
    <x v="3"/>
    <x v="2"/>
    <x v="14"/>
    <x v="1"/>
    <x v="56"/>
    <x v="78"/>
    <x v="19"/>
    <x v="37"/>
    <x v="2"/>
    <x v="1"/>
    <x v="1"/>
    <x v="4"/>
    <x v="0"/>
    <x v="3"/>
    <x v="1"/>
    <x v="226"/>
    <x v="257"/>
    <x v="168"/>
    <x v="128"/>
    <x v="31"/>
    <x v="23"/>
    <x v="169"/>
    <x v="96"/>
    <x v="5"/>
    <x v="62"/>
    <x v="25"/>
  </r>
  <r>
    <x v="245"/>
    <x v="275"/>
    <x v="5"/>
    <x v="10"/>
    <x v="1"/>
    <x v="217"/>
    <x v="6"/>
    <x v="4"/>
    <x v="1"/>
    <x v="1"/>
    <x v="14"/>
    <x v="1"/>
    <x v="253"/>
    <x v="276"/>
    <x v="19"/>
    <x v="56"/>
    <x v="1"/>
    <x v="1"/>
    <x v="0"/>
    <x v="2"/>
    <x v="1"/>
    <x v="3"/>
    <x v="1"/>
    <x v="3"/>
    <x v="79"/>
    <x v="162"/>
    <x v="128"/>
    <x v="31"/>
    <x v="23"/>
    <x v="218"/>
    <x v="176"/>
    <x v="5"/>
    <x v="56"/>
    <x v="25"/>
  </r>
  <r>
    <x v="246"/>
    <x v="264"/>
    <x v="15"/>
    <x v="10"/>
    <x v="1"/>
    <x v="193"/>
    <x v="18"/>
    <x v="15"/>
    <x v="3"/>
    <x v="2"/>
    <x v="6"/>
    <x v="1"/>
    <x v="165"/>
    <x v="272"/>
    <x v="19"/>
    <x v="47"/>
    <x v="2"/>
    <x v="1"/>
    <x v="0"/>
    <x v="3"/>
    <x v="1"/>
    <x v="3"/>
    <x v="1"/>
    <x v="162"/>
    <x v="63"/>
    <x v="168"/>
    <x v="3"/>
    <x v="31"/>
    <x v="23"/>
    <x v="209"/>
    <x v="199"/>
    <x v="5"/>
    <x v="62"/>
    <x v="25"/>
  </r>
  <r>
    <x v="247"/>
    <x v="251"/>
    <x v="15"/>
    <x v="10"/>
    <x v="1"/>
    <x v="17"/>
    <x v="18"/>
    <x v="15"/>
    <x v="3"/>
    <x v="1"/>
    <x v="9"/>
    <x v="1"/>
    <x v="69"/>
    <x v="265"/>
    <x v="19"/>
    <x v="56"/>
    <x v="1"/>
    <x v="1"/>
    <x v="0"/>
    <x v="2"/>
    <x v="1"/>
    <x v="3"/>
    <x v="1"/>
    <x v="252"/>
    <x v="81"/>
    <x v="168"/>
    <x v="128"/>
    <x v="24"/>
    <x v="23"/>
    <x v="196"/>
    <x v="110"/>
    <x v="5"/>
    <x v="4"/>
    <x v="25"/>
  </r>
  <r>
    <x v="248"/>
    <x v="155"/>
    <x v="9"/>
    <x v="10"/>
    <x v="0"/>
    <x v="13"/>
    <x v="18"/>
    <x v="15"/>
    <x v="3"/>
    <x v="2"/>
    <x v="14"/>
    <x v="1"/>
    <x v="22"/>
    <x v="49"/>
    <x v="19"/>
    <x v="56"/>
    <x v="2"/>
    <x v="1"/>
    <x v="0"/>
    <x v="3"/>
    <x v="1"/>
    <x v="3"/>
    <x v="1"/>
    <x v="263"/>
    <x v="255"/>
    <x v="168"/>
    <x v="128"/>
    <x v="31"/>
    <x v="23"/>
    <x v="125"/>
    <x v="189"/>
    <x v="5"/>
    <x v="67"/>
    <x v="25"/>
  </r>
  <r>
    <x v="249"/>
    <x v="167"/>
    <x v="28"/>
    <x v="10"/>
    <x v="0"/>
    <x v="35"/>
    <x v="6"/>
    <x v="4"/>
    <x v="3"/>
    <x v="1"/>
    <x v="6"/>
    <x v="1"/>
    <x v="16"/>
    <x v="237"/>
    <x v="19"/>
    <x v="56"/>
    <x v="1"/>
    <x v="1"/>
    <x v="0"/>
    <x v="2"/>
    <x v="1"/>
    <x v="3"/>
    <x v="1"/>
    <x v="66"/>
    <x v="192"/>
    <x v="97"/>
    <x v="57"/>
    <x v="31"/>
    <x v="23"/>
    <x v="132"/>
    <x v="210"/>
    <x v="5"/>
    <x v="84"/>
    <x v="25"/>
  </r>
  <r>
    <x v="250"/>
    <x v="114"/>
    <x v="21"/>
    <x v="10"/>
    <x v="0"/>
    <x v="178"/>
    <x v="18"/>
    <x v="15"/>
    <x v="3"/>
    <x v="4"/>
    <x v="14"/>
    <x v="1"/>
    <x v="214"/>
    <x v="20"/>
    <x v="19"/>
    <x v="40"/>
    <x v="0"/>
    <x v="1"/>
    <x v="1"/>
    <x v="2"/>
    <x v="1"/>
    <x v="3"/>
    <x v="1"/>
    <x v="59"/>
    <x v="198"/>
    <x v="71"/>
    <x v="128"/>
    <x v="31"/>
    <x v="23"/>
    <x v="97"/>
    <x v="239"/>
    <x v="5"/>
    <x v="84"/>
    <x v="25"/>
  </r>
  <r>
    <x v="251"/>
    <x v="116"/>
    <x v="16"/>
    <x v="10"/>
    <x v="1"/>
    <x v="39"/>
    <x v="6"/>
    <x v="4"/>
    <x v="3"/>
    <x v="0"/>
    <x v="14"/>
    <x v="1"/>
    <x v="132"/>
    <x v="221"/>
    <x v="19"/>
    <x v="56"/>
    <x v="0"/>
    <x v="1"/>
    <x v="0"/>
    <x v="1"/>
    <x v="2"/>
    <x v="3"/>
    <x v="1"/>
    <x v="77"/>
    <x v="261"/>
    <x v="168"/>
    <x v="128"/>
    <x v="31"/>
    <x v="23"/>
    <x v="98"/>
    <x v="240"/>
    <x v="5"/>
    <x v="55"/>
    <x v="25"/>
  </r>
  <r>
    <x v="252"/>
    <x v="15"/>
    <x v="5"/>
    <x v="10"/>
    <x v="1"/>
    <x v="216"/>
    <x v="6"/>
    <x v="4"/>
    <x v="3"/>
    <x v="1"/>
    <x v="14"/>
    <x v="1"/>
    <x v="113"/>
    <x v="39"/>
    <x v="19"/>
    <x v="24"/>
    <x v="1"/>
    <x v="1"/>
    <x v="1"/>
    <x v="3"/>
    <x v="1"/>
    <x v="3"/>
    <x v="1"/>
    <x v="8"/>
    <x v="261"/>
    <x v="8"/>
    <x v="128"/>
    <x v="31"/>
    <x v="23"/>
    <x v="14"/>
    <x v="78"/>
    <x v="5"/>
    <x v="24"/>
    <x v="25"/>
  </r>
  <r>
    <x v="253"/>
    <x v="137"/>
    <x v="15"/>
    <x v="10"/>
    <x v="1"/>
    <x v="16"/>
    <x v="18"/>
    <x v="15"/>
    <x v="3"/>
    <x v="0"/>
    <x v="14"/>
    <x v="1"/>
    <x v="1"/>
    <x v="227"/>
    <x v="19"/>
    <x v="48"/>
    <x v="0"/>
    <x v="1"/>
    <x v="0"/>
    <x v="1"/>
    <x v="2"/>
    <x v="3"/>
    <x v="1"/>
    <x v="250"/>
    <x v="261"/>
    <x v="168"/>
    <x v="128"/>
    <x v="31"/>
    <x v="23"/>
    <x v="112"/>
    <x v="243"/>
    <x v="5"/>
    <x v="24"/>
    <x v="25"/>
  </r>
  <r>
    <x v="254"/>
    <x v="238"/>
    <x v="4"/>
    <x v="10"/>
    <x v="0"/>
    <x v="30"/>
    <x v="2"/>
    <x v="2"/>
    <x v="1"/>
    <x v="0"/>
    <x v="13"/>
    <x v="0"/>
    <x v="127"/>
    <x v="2"/>
    <x v="19"/>
    <x v="40"/>
    <x v="0"/>
    <x v="1"/>
    <x v="1"/>
    <x v="2"/>
    <x v="1"/>
    <x v="3"/>
    <x v="1"/>
    <x v="263"/>
    <x v="261"/>
    <x v="168"/>
    <x v="128"/>
    <x v="31"/>
    <x v="23"/>
    <x v="226"/>
    <x v="172"/>
    <x v="5"/>
    <x v="25"/>
    <x v="25"/>
  </r>
  <r>
    <x v="255"/>
    <x v="189"/>
    <x v="6"/>
    <x v="10"/>
    <x v="0"/>
    <x v="207"/>
    <x v="7"/>
    <x v="4"/>
    <x v="2"/>
    <x v="4"/>
    <x v="6"/>
    <x v="1"/>
    <x v="141"/>
    <x v="246"/>
    <x v="19"/>
    <x v="8"/>
    <x v="0"/>
    <x v="1"/>
    <x v="1"/>
    <x v="2"/>
    <x v="1"/>
    <x v="3"/>
    <x v="1"/>
    <x v="144"/>
    <x v="216"/>
    <x v="93"/>
    <x v="68"/>
    <x v="31"/>
    <x v="23"/>
    <x v="150"/>
    <x v="123"/>
    <x v="5"/>
    <x v="43"/>
    <x v="27"/>
  </r>
  <r>
    <x v="256"/>
    <x v="54"/>
    <x v="19"/>
    <x v="10"/>
    <x v="1"/>
    <x v="82"/>
    <x v="9"/>
    <x v="6"/>
    <x v="3"/>
    <x v="4"/>
    <x v="5"/>
    <x v="1"/>
    <x v="180"/>
    <x v="13"/>
    <x v="19"/>
    <x v="6"/>
    <x v="0"/>
    <x v="1"/>
    <x v="1"/>
    <x v="2"/>
    <x v="1"/>
    <x v="3"/>
    <x v="1"/>
    <x v="71"/>
    <x v="161"/>
    <x v="31"/>
    <x v="2"/>
    <x v="31"/>
    <x v="4"/>
    <x v="48"/>
    <x v="112"/>
    <x v="5"/>
    <x v="84"/>
    <x v="27"/>
  </r>
  <r>
    <x v="257"/>
    <x v="3"/>
    <x v="6"/>
    <x v="10"/>
    <x v="0"/>
    <x v="83"/>
    <x v="9"/>
    <x v="6"/>
    <x v="3"/>
    <x v="1"/>
    <x v="6"/>
    <x v="1"/>
    <x v="185"/>
    <x v="37"/>
    <x v="19"/>
    <x v="33"/>
    <x v="1"/>
    <x v="1"/>
    <x v="1"/>
    <x v="3"/>
    <x v="1"/>
    <x v="3"/>
    <x v="1"/>
    <x v="190"/>
    <x v="239"/>
    <x v="0"/>
    <x v="4"/>
    <x v="31"/>
    <x v="23"/>
    <x v="6"/>
    <x v="212"/>
    <x v="5"/>
    <x v="19"/>
    <x v="27"/>
  </r>
  <r>
    <x v="258"/>
    <x v="280"/>
    <x v="14"/>
    <x v="9"/>
    <x v="1"/>
    <x v="81"/>
    <x v="16"/>
    <x v="13"/>
    <x v="3"/>
    <x v="1"/>
    <x v="5"/>
    <x v="1"/>
    <x v="68"/>
    <x v="279"/>
    <x v="19"/>
    <x v="56"/>
    <x v="1"/>
    <x v="0"/>
    <x v="0"/>
    <x v="1"/>
    <x v="2"/>
    <x v="3"/>
    <x v="1"/>
    <x v="192"/>
    <x v="261"/>
    <x v="163"/>
    <x v="127"/>
    <x v="31"/>
    <x v="22"/>
    <x v="223"/>
    <x v="165"/>
    <x v="5"/>
    <x v="53"/>
    <x v="10"/>
  </r>
  <r>
    <x v="259"/>
    <x v="260"/>
    <x v="20"/>
    <x v="10"/>
    <x v="1"/>
    <x v="205"/>
    <x v="7"/>
    <x v="4"/>
    <x v="1"/>
    <x v="1"/>
    <x v="5"/>
    <x v="1"/>
    <x v="173"/>
    <x v="5"/>
    <x v="19"/>
    <x v="52"/>
    <x v="1"/>
    <x v="1"/>
    <x v="0"/>
    <x v="2"/>
    <x v="1"/>
    <x v="3"/>
    <x v="1"/>
    <x v="40"/>
    <x v="160"/>
    <x v="152"/>
    <x v="122"/>
    <x v="31"/>
    <x v="21"/>
    <x v="204"/>
    <x v="268"/>
    <x v="5"/>
    <x v="84"/>
    <x v="27"/>
  </r>
  <r>
    <x v="260"/>
    <x v="132"/>
    <x v="11"/>
    <x v="10"/>
    <x v="1"/>
    <x v="80"/>
    <x v="7"/>
    <x v="4"/>
    <x v="1"/>
    <x v="4"/>
    <x v="6"/>
    <x v="1"/>
    <x v="39"/>
    <x v="5"/>
    <x v="19"/>
    <x v="13"/>
    <x v="0"/>
    <x v="1"/>
    <x v="1"/>
    <x v="2"/>
    <x v="1"/>
    <x v="3"/>
    <x v="1"/>
    <x v="213"/>
    <x v="21"/>
    <x v="79"/>
    <x v="47"/>
    <x v="31"/>
    <x v="23"/>
    <x v="107"/>
    <x v="242"/>
    <x v="5"/>
    <x v="84"/>
    <x v="27"/>
  </r>
  <r>
    <x v="261"/>
    <x v="28"/>
    <x v="2"/>
    <x v="10"/>
    <x v="0"/>
    <x v="71"/>
    <x v="16"/>
    <x v="13"/>
    <x v="1"/>
    <x v="4"/>
    <x v="5"/>
    <x v="1"/>
    <x v="70"/>
    <x v="177"/>
    <x v="19"/>
    <x v="27"/>
    <x v="0"/>
    <x v="0"/>
    <x v="1"/>
    <x v="1"/>
    <x v="2"/>
    <x v="3"/>
    <x v="1"/>
    <x v="55"/>
    <x v="228"/>
    <x v="17"/>
    <x v="15"/>
    <x v="31"/>
    <x v="2"/>
    <x v="24"/>
    <x v="164"/>
    <x v="5"/>
    <x v="84"/>
    <x v="27"/>
  </r>
  <r>
    <x v="262"/>
    <x v="60"/>
    <x v="5"/>
    <x v="10"/>
    <x v="1"/>
    <x v="191"/>
    <x v="16"/>
    <x v="13"/>
    <x v="3"/>
    <x v="4"/>
    <x v="6"/>
    <x v="1"/>
    <x v="18"/>
    <x v="74"/>
    <x v="19"/>
    <x v="56"/>
    <x v="0"/>
    <x v="0"/>
    <x v="0"/>
    <x v="0"/>
    <x v="2"/>
    <x v="3"/>
    <x v="1"/>
    <x v="179"/>
    <x v="170"/>
    <x v="35"/>
    <x v="25"/>
    <x v="31"/>
    <x v="23"/>
    <x v="55"/>
    <x v="226"/>
    <x v="5"/>
    <x v="84"/>
    <x v="10"/>
  </r>
  <r>
    <x v="263"/>
    <x v="266"/>
    <x v="15"/>
    <x v="10"/>
    <x v="1"/>
    <x v="122"/>
    <x v="16"/>
    <x v="13"/>
    <x v="3"/>
    <x v="4"/>
    <x v="6"/>
    <x v="1"/>
    <x v="195"/>
    <x v="274"/>
    <x v="19"/>
    <x v="56"/>
    <x v="0"/>
    <x v="0"/>
    <x v="0"/>
    <x v="0"/>
    <x v="2"/>
    <x v="3"/>
    <x v="1"/>
    <x v="43"/>
    <x v="100"/>
    <x v="153"/>
    <x v="125"/>
    <x v="31"/>
    <x v="23"/>
    <x v="211"/>
    <x v="163"/>
    <x v="5"/>
    <x v="84"/>
    <x v="10"/>
  </r>
  <r>
    <x v="264"/>
    <x v="23"/>
    <x v="16"/>
    <x v="10"/>
    <x v="1"/>
    <x v="190"/>
    <x v="16"/>
    <x v="13"/>
    <x v="3"/>
    <x v="1"/>
    <x v="6"/>
    <x v="1"/>
    <x v="65"/>
    <x v="190"/>
    <x v="19"/>
    <x v="51"/>
    <x v="1"/>
    <x v="0"/>
    <x v="0"/>
    <x v="1"/>
    <x v="2"/>
    <x v="3"/>
    <x v="1"/>
    <x v="181"/>
    <x v="219"/>
    <x v="14"/>
    <x v="12"/>
    <x v="31"/>
    <x v="23"/>
    <x v="20"/>
    <x v="12"/>
    <x v="5"/>
    <x v="20"/>
    <x v="10"/>
  </r>
  <r>
    <x v="265"/>
    <x v="259"/>
    <x v="16"/>
    <x v="10"/>
    <x v="1"/>
    <x v="190"/>
    <x v="16"/>
    <x v="13"/>
    <x v="3"/>
    <x v="2"/>
    <x v="14"/>
    <x v="1"/>
    <x v="249"/>
    <x v="268"/>
    <x v="19"/>
    <x v="56"/>
    <x v="2"/>
    <x v="0"/>
    <x v="0"/>
    <x v="2"/>
    <x v="1"/>
    <x v="3"/>
    <x v="1"/>
    <x v="184"/>
    <x v="84"/>
    <x v="168"/>
    <x v="128"/>
    <x v="31"/>
    <x v="23"/>
    <x v="203"/>
    <x v="267"/>
    <x v="5"/>
    <x v="62"/>
    <x v="10"/>
  </r>
  <r>
    <x v="266"/>
    <x v="88"/>
    <x v="16"/>
    <x v="10"/>
    <x v="1"/>
    <x v="10"/>
    <x v="18"/>
    <x v="15"/>
    <x v="2"/>
    <x v="1"/>
    <x v="14"/>
    <x v="1"/>
    <x v="118"/>
    <x v="88"/>
    <x v="19"/>
    <x v="40"/>
    <x v="1"/>
    <x v="1"/>
    <x v="1"/>
    <x v="3"/>
    <x v="1"/>
    <x v="3"/>
    <x v="1"/>
    <x v="74"/>
    <x v="83"/>
    <x v="57"/>
    <x v="128"/>
    <x v="31"/>
    <x v="23"/>
    <x v="80"/>
    <x v="203"/>
    <x v="5"/>
    <x v="30"/>
    <x v="10"/>
  </r>
  <r>
    <x v="267"/>
    <x v="74"/>
    <x v="23"/>
    <x v="10"/>
    <x v="0"/>
    <x v="9"/>
    <x v="18"/>
    <x v="15"/>
    <x v="3"/>
    <x v="3"/>
    <x v="9"/>
    <x v="1"/>
    <x v="49"/>
    <x v="81"/>
    <x v="19"/>
    <x v="28"/>
    <x v="2"/>
    <x v="1"/>
    <x v="1"/>
    <x v="4"/>
    <x v="0"/>
    <x v="3"/>
    <x v="1"/>
    <x v="76"/>
    <x v="254"/>
    <x v="45"/>
    <x v="128"/>
    <x v="6"/>
    <x v="23"/>
    <x v="69"/>
    <x v="228"/>
    <x v="5"/>
    <x v="84"/>
    <x v="10"/>
  </r>
  <r>
    <x v="268"/>
    <x v="188"/>
    <x v="1"/>
    <x v="10"/>
    <x v="1"/>
    <x v="85"/>
    <x v="12"/>
    <x v="9"/>
    <x v="3"/>
    <x v="4"/>
    <x v="6"/>
    <x v="1"/>
    <x v="179"/>
    <x v="29"/>
    <x v="19"/>
    <x v="0"/>
    <x v="0"/>
    <x v="2"/>
    <x v="1"/>
    <x v="3"/>
    <x v="1"/>
    <x v="3"/>
    <x v="1"/>
    <x v="123"/>
    <x v="45"/>
    <x v="113"/>
    <x v="67"/>
    <x v="31"/>
    <x v="23"/>
    <x v="149"/>
    <x v="151"/>
    <x v="5"/>
    <x v="84"/>
    <x v="2"/>
  </r>
  <r>
    <x v="269"/>
    <x v="59"/>
    <x v="14"/>
    <x v="2"/>
    <x v="1"/>
    <x v="86"/>
    <x v="12"/>
    <x v="9"/>
    <x v="3"/>
    <x v="0"/>
    <x v="5"/>
    <x v="1"/>
    <x v="187"/>
    <x v="206"/>
    <x v="19"/>
    <x v="42"/>
    <x v="0"/>
    <x v="2"/>
    <x v="0"/>
    <x v="2"/>
    <x v="1"/>
    <x v="3"/>
    <x v="1"/>
    <x v="113"/>
    <x v="129"/>
    <x v="168"/>
    <x v="24"/>
    <x v="31"/>
    <x v="5"/>
    <x v="54"/>
    <x v="225"/>
    <x v="5"/>
    <x v="12"/>
    <x v="2"/>
  </r>
  <r>
    <x v="270"/>
    <x v="115"/>
    <x v="14"/>
    <x v="7"/>
    <x v="1"/>
    <x v="75"/>
    <x v="7"/>
    <x v="4"/>
    <x v="3"/>
    <x v="4"/>
    <x v="14"/>
    <x v="1"/>
    <x v="186"/>
    <x v="222"/>
    <x v="19"/>
    <x v="36"/>
    <x v="0"/>
    <x v="1"/>
    <x v="1"/>
    <x v="2"/>
    <x v="1"/>
    <x v="3"/>
    <x v="1"/>
    <x v="218"/>
    <x v="32"/>
    <x v="74"/>
    <x v="128"/>
    <x v="31"/>
    <x v="23"/>
    <x v="100"/>
    <x v="153"/>
    <x v="5"/>
    <x v="84"/>
    <x v="2"/>
  </r>
  <r>
    <x v="271"/>
    <x v="97"/>
    <x v="11"/>
    <x v="10"/>
    <x v="1"/>
    <x v="74"/>
    <x v="7"/>
    <x v="4"/>
    <x v="3"/>
    <x v="1"/>
    <x v="6"/>
    <x v="1"/>
    <x v="46"/>
    <x v="90"/>
    <x v="19"/>
    <x v="24"/>
    <x v="1"/>
    <x v="1"/>
    <x v="1"/>
    <x v="3"/>
    <x v="1"/>
    <x v="3"/>
    <x v="1"/>
    <x v="18"/>
    <x v="78"/>
    <x v="61"/>
    <x v="38"/>
    <x v="31"/>
    <x v="23"/>
    <x v="87"/>
    <x v="236"/>
    <x v="5"/>
    <x v="28"/>
    <x v="2"/>
  </r>
  <r>
    <x v="272"/>
    <x v="66"/>
    <x v="5"/>
    <x v="10"/>
    <x v="1"/>
    <x v="105"/>
    <x v="3"/>
    <x v="2"/>
    <x v="0"/>
    <x v="1"/>
    <x v="14"/>
    <x v="1"/>
    <x v="143"/>
    <x v="209"/>
    <x v="19"/>
    <x v="18"/>
    <x v="1"/>
    <x v="1"/>
    <x v="1"/>
    <x v="3"/>
    <x v="1"/>
    <x v="3"/>
    <x v="1"/>
    <x v="233"/>
    <x v="105"/>
    <x v="41"/>
    <x v="128"/>
    <x v="31"/>
    <x v="23"/>
    <x v="61"/>
    <x v="227"/>
    <x v="5"/>
    <x v="1"/>
    <x v="17"/>
  </r>
  <r>
    <x v="273"/>
    <x v="241"/>
    <x v="5"/>
    <x v="10"/>
    <x v="1"/>
    <x v="106"/>
    <x v="3"/>
    <x v="2"/>
    <x v="2"/>
    <x v="1"/>
    <x v="11"/>
    <x v="1"/>
    <x v="152"/>
    <x v="36"/>
    <x v="19"/>
    <x v="26"/>
    <x v="1"/>
    <x v="1"/>
    <x v="1"/>
    <x v="3"/>
    <x v="1"/>
    <x v="3"/>
    <x v="1"/>
    <x v="232"/>
    <x v="261"/>
    <x v="140"/>
    <x v="128"/>
    <x v="31"/>
    <x v="19"/>
    <x v="189"/>
    <x v="72"/>
    <x v="5"/>
    <x v="24"/>
    <x v="17"/>
  </r>
  <r>
    <x v="274"/>
    <x v="90"/>
    <x v="23"/>
    <x v="10"/>
    <x v="0"/>
    <x v="188"/>
    <x v="3"/>
    <x v="2"/>
    <x v="0"/>
    <x v="3"/>
    <x v="5"/>
    <x v="1"/>
    <x v="45"/>
    <x v="89"/>
    <x v="19"/>
    <x v="24"/>
    <x v="2"/>
    <x v="1"/>
    <x v="1"/>
    <x v="4"/>
    <x v="0"/>
    <x v="3"/>
    <x v="1"/>
    <x v="99"/>
    <x v="261"/>
    <x v="58"/>
    <x v="37"/>
    <x v="31"/>
    <x v="8"/>
    <x v="82"/>
    <x v="234"/>
    <x v="5"/>
    <x v="24"/>
    <x v="17"/>
  </r>
  <r>
    <x v="275"/>
    <x v="242"/>
    <x v="23"/>
    <x v="10"/>
    <x v="0"/>
    <x v="189"/>
    <x v="3"/>
    <x v="2"/>
    <x v="3"/>
    <x v="4"/>
    <x v="6"/>
    <x v="1"/>
    <x v="42"/>
    <x v="168"/>
    <x v="19"/>
    <x v="17"/>
    <x v="0"/>
    <x v="1"/>
    <x v="1"/>
    <x v="2"/>
    <x v="1"/>
    <x v="3"/>
    <x v="1"/>
    <x v="102"/>
    <x v="168"/>
    <x v="141"/>
    <x v="113"/>
    <x v="31"/>
    <x v="23"/>
    <x v="190"/>
    <x v="148"/>
    <x v="5"/>
    <x v="84"/>
    <x v="17"/>
  </r>
  <r>
    <x v="276"/>
    <x v="53"/>
    <x v="1"/>
    <x v="10"/>
    <x v="1"/>
    <x v="95"/>
    <x v="7"/>
    <x v="4"/>
    <x v="3"/>
    <x v="4"/>
    <x v="6"/>
    <x v="1"/>
    <x v="116"/>
    <x v="77"/>
    <x v="19"/>
    <x v="32"/>
    <x v="0"/>
    <x v="1"/>
    <x v="1"/>
    <x v="2"/>
    <x v="1"/>
    <x v="3"/>
    <x v="1"/>
    <x v="80"/>
    <x v="97"/>
    <x v="30"/>
    <x v="80"/>
    <x v="31"/>
    <x v="23"/>
    <x v="47"/>
    <x v="111"/>
    <x v="5"/>
    <x v="84"/>
    <x v="14"/>
  </r>
  <r>
    <x v="277"/>
    <x v="57"/>
    <x v="2"/>
    <x v="10"/>
    <x v="0"/>
    <x v="94"/>
    <x v="7"/>
    <x v="4"/>
    <x v="1"/>
    <x v="3"/>
    <x v="6"/>
    <x v="1"/>
    <x v="94"/>
    <x v="79"/>
    <x v="19"/>
    <x v="16"/>
    <x v="2"/>
    <x v="1"/>
    <x v="1"/>
    <x v="4"/>
    <x v="0"/>
    <x v="3"/>
    <x v="1"/>
    <x v="255"/>
    <x v="194"/>
    <x v="33"/>
    <x v="22"/>
    <x v="31"/>
    <x v="23"/>
    <x v="51"/>
    <x v="116"/>
    <x v="5"/>
    <x v="84"/>
    <x v="14"/>
  </r>
  <r>
    <x v="278"/>
    <x v="113"/>
    <x v="9"/>
    <x v="10"/>
    <x v="0"/>
    <x v="96"/>
    <x v="7"/>
    <x v="4"/>
    <x v="1"/>
    <x v="1"/>
    <x v="14"/>
    <x v="1"/>
    <x v="53"/>
    <x v="19"/>
    <x v="19"/>
    <x v="33"/>
    <x v="1"/>
    <x v="1"/>
    <x v="1"/>
    <x v="3"/>
    <x v="1"/>
    <x v="3"/>
    <x v="1"/>
    <x v="198"/>
    <x v="245"/>
    <x v="69"/>
    <x v="128"/>
    <x v="31"/>
    <x v="23"/>
    <x v="96"/>
    <x v="117"/>
    <x v="5"/>
    <x v="15"/>
    <x v="14"/>
  </r>
  <r>
    <x v="279"/>
    <x v="124"/>
    <x v="9"/>
    <x v="10"/>
    <x v="0"/>
    <x v="94"/>
    <x v="7"/>
    <x v="4"/>
    <x v="3"/>
    <x v="4"/>
    <x v="6"/>
    <x v="1"/>
    <x v="112"/>
    <x v="93"/>
    <x v="19"/>
    <x v="22"/>
    <x v="0"/>
    <x v="1"/>
    <x v="1"/>
    <x v="2"/>
    <x v="1"/>
    <x v="3"/>
    <x v="1"/>
    <x v="197"/>
    <x v="259"/>
    <x v="77"/>
    <x v="46"/>
    <x v="31"/>
    <x v="23"/>
    <x v="103"/>
    <x v="152"/>
    <x v="5"/>
    <x v="84"/>
    <x v="14"/>
  </r>
  <r>
    <x v="280"/>
    <x v="255"/>
    <x v="20"/>
    <x v="10"/>
    <x v="1"/>
    <x v="203"/>
    <x v="18"/>
    <x v="15"/>
    <x v="3"/>
    <x v="1"/>
    <x v="9"/>
    <x v="1"/>
    <x v="183"/>
    <x v="173"/>
    <x v="19"/>
    <x v="27"/>
    <x v="1"/>
    <x v="1"/>
    <x v="1"/>
    <x v="3"/>
    <x v="1"/>
    <x v="3"/>
    <x v="1"/>
    <x v="171"/>
    <x v="159"/>
    <x v="148"/>
    <x v="128"/>
    <x v="26"/>
    <x v="23"/>
    <x v="200"/>
    <x v="265"/>
    <x v="5"/>
    <x v="15"/>
    <x v="37"/>
  </r>
  <r>
    <x v="281"/>
    <x v="199"/>
    <x v="27"/>
    <x v="10"/>
    <x v="1"/>
    <x v="202"/>
    <x v="18"/>
    <x v="15"/>
    <x v="3"/>
    <x v="4"/>
    <x v="6"/>
    <x v="1"/>
    <x v="58"/>
    <x v="30"/>
    <x v="19"/>
    <x v="41"/>
    <x v="0"/>
    <x v="1"/>
    <x v="0"/>
    <x v="1"/>
    <x v="2"/>
    <x v="3"/>
    <x v="1"/>
    <x v="176"/>
    <x v="16"/>
    <x v="118"/>
    <x v="72"/>
    <x v="31"/>
    <x v="23"/>
    <x v="159"/>
    <x v="256"/>
    <x v="5"/>
    <x v="84"/>
    <x v="37"/>
  </r>
  <r>
    <x v="282"/>
    <x v="154"/>
    <x v="14"/>
    <x v="4"/>
    <x v="1"/>
    <x v="84"/>
    <x v="18"/>
    <x v="15"/>
    <x v="2"/>
    <x v="2"/>
    <x v="13"/>
    <x v="0"/>
    <x v="231"/>
    <x v="32"/>
    <x v="19"/>
    <x v="56"/>
    <x v="2"/>
    <x v="1"/>
    <x v="0"/>
    <x v="3"/>
    <x v="1"/>
    <x v="0"/>
    <x v="1"/>
    <x v="121"/>
    <x v="94"/>
    <x v="168"/>
    <x v="128"/>
    <x v="31"/>
    <x v="23"/>
    <x v="226"/>
    <x v="73"/>
    <x v="5"/>
    <x v="62"/>
    <x v="37"/>
  </r>
  <r>
    <x v="283"/>
    <x v="265"/>
    <x v="6"/>
    <x v="10"/>
    <x v="0"/>
    <x v="204"/>
    <x v="18"/>
    <x v="15"/>
    <x v="3"/>
    <x v="2"/>
    <x v="6"/>
    <x v="1"/>
    <x v="102"/>
    <x v="273"/>
    <x v="19"/>
    <x v="43"/>
    <x v="2"/>
    <x v="1"/>
    <x v="0"/>
    <x v="3"/>
    <x v="1"/>
    <x v="3"/>
    <x v="1"/>
    <x v="165"/>
    <x v="230"/>
    <x v="168"/>
    <x v="119"/>
    <x v="31"/>
    <x v="23"/>
    <x v="210"/>
    <x v="49"/>
    <x v="5"/>
    <x v="62"/>
    <x v="37"/>
  </r>
  <r>
    <x v="284"/>
    <x v="245"/>
    <x v="6"/>
    <x v="10"/>
    <x v="0"/>
    <x v="202"/>
    <x v="18"/>
    <x v="15"/>
    <x v="3"/>
    <x v="1"/>
    <x v="3"/>
    <x v="1"/>
    <x v="104"/>
    <x v="171"/>
    <x v="19"/>
    <x v="55"/>
    <x v="1"/>
    <x v="1"/>
    <x v="0"/>
    <x v="2"/>
    <x v="1"/>
    <x v="3"/>
    <x v="1"/>
    <x v="139"/>
    <x v="211"/>
    <x v="144"/>
    <x v="117"/>
    <x v="23"/>
    <x v="23"/>
    <x v="193"/>
    <x v="150"/>
    <x v="5"/>
    <x v="15"/>
    <x v="3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D1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6:H37" firstHeaderRow="1" firstDataRow="2" firstDataCol="2"/>
  <pivotFields count="34">
    <pivotField compact="0" showAll="0"/>
    <pivotField dataField="1" compact="0" showAll="0"/>
    <pivotField axis="axisRow" compact="0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compact="0" showAll="0"/>
    <pivotField axis="axisRow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axis="axisCol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4"/>
    <field x="2"/>
  </rowFields>
  <colFields count="1">
    <field x="9"/>
  </col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D2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G25" firstHeaderRow="1" firstDataRow="2" firstDataCol="1" rowPageCount="1" colPageCount="1"/>
  <pivotFields count="34">
    <pivotField compact="0" showAll="0"/>
    <pivotField dataField="1" compact="0" showAll="0"/>
    <pivotField compact="0" showAll="0"/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compact="0" showAll="0"/>
    <pivotField axis="axisRow" compact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compact="0" showAll="0"/>
    <pivotField axis="axisCol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7"/>
  </rowFields>
  <colFields count="1">
    <field x="9"/>
  </colFields>
  <pageFields count="1">
    <pageField fld="4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D5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G50" firstHeaderRow="1" firstDataRow="2" firstDataCol="1" rowPageCount="1" colPageCount="1"/>
  <pivotFields count="34">
    <pivotField compact="0" showAll="0"/>
    <pivotField dataField="1" compact="0" showAll="0"/>
    <pivotField compact="0" showAll="0"/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axis="axisCol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</items>
    </pivotField>
  </pivotFields>
  <rowFields count="1">
    <field x="33"/>
  </rowFields>
  <colFields count="1">
    <field x="9"/>
  </colFields>
  <pageFields count="1">
    <pageField fld="4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D3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F13" firstHeaderRow="1" firstDataRow="2" firstDataCol="1" rowPageCount="1" colPageCount="1"/>
  <pivotFields count="34">
    <pivotField compact="0" showAll="0"/>
    <pivotField dataField="1" compact="0" showAll="0"/>
    <pivotField compact="0" showAll="0"/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axis="axisRow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colFields count="1">
    <field x="20"/>
  </colFields>
  <pageFields count="1">
    <pageField fld="4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D4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D11" firstHeaderRow="1" firstDataRow="2" firstDataCol="1" rowPageCount="1" colPageCount="1"/>
  <pivotFields count="34">
    <pivotField compact="0" showAll="0"/>
    <pivotField dataField="1" compact="0" showAll="0"/>
    <pivotField compact="0" showAll="0"/>
    <pivotField compact="0" showAll="0"/>
    <pivotField axis="axisCol" compact="0" showAll="0" defaultSubtotal="0">
      <items count="2">
        <item x="0"/>
        <item x="1"/>
      </items>
    </pivotField>
    <pivotField compact="0" showAll="0"/>
    <pivotField compact="0" showAll="0"/>
    <pivotField axis="axisPage" compact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compact="0" showAll="0"/>
    <pivotField compact="0" showAll="0"/>
    <pivotField compact="0" showAll="0"/>
    <pivotField axis="axisRow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1"/>
  </rowFields>
  <colFields count="1">
    <field x="4"/>
  </colFields>
  <pageFields count="1">
    <pageField fld="7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nta.com/c/mmn1h0x/jonel-knitting-mills-inc" TargetMode="External"/><Relationship Id="rId2" Type="http://schemas.openxmlformats.org/officeDocument/2006/relationships/hyperlink" Target="https://us.o2osell.com/shops/jonel-knitting-mills" TargetMode="External"/><Relationship Id="rId3" Type="http://schemas.openxmlformats.org/officeDocument/2006/relationships/hyperlink" Target="https://www.manta.com/c/mmcwr0p/steel-works-rebar-fabricators-llc" TargetMode="External"/><Relationship Id="rId4" Type="http://schemas.openxmlformats.org/officeDocument/2006/relationships/hyperlink" Target="https://www.facebook.com/SteelWorksRebar/" TargetMode="External"/><Relationship Id="rId5" Type="http://schemas.openxmlformats.org/officeDocument/2006/relationships/hyperlink" Target="https://www.yelp.com/biz/steel-works-rebarb-fabricators-medley" TargetMode="External"/><Relationship Id="rId6" Type="http://schemas.openxmlformats.org/officeDocument/2006/relationships/hyperlink" Target="https://www.thebluebook.com/iProView/771162/steel-works-rebar-fabricators/material-suppliers" TargetMode="External"/><Relationship Id="rId7" Type="http://schemas.openxmlformats.org/officeDocument/2006/relationships/hyperlink" Target="https://www.yellowpages.com/medley-fl/mip/all-welding-and-machine-shop-inc-474064250" TargetMode="External"/><Relationship Id="rId8" Type="http://schemas.openxmlformats.org/officeDocument/2006/relationships/hyperlink" Target="https://www.yellowpages.com/medley-fl/mip/all-welding-and-machine-shop-inc-474064250" TargetMode="External"/><Relationship Id="rId9" Type="http://schemas.openxmlformats.org/officeDocument/2006/relationships/hyperlink" Target="https://search.sunbiz.org/Inquiry/CorporationSearch/ByName" TargetMode="External"/><Relationship Id="rId10" Type="http://schemas.openxmlformats.org/officeDocument/2006/relationships/hyperlink" Target="https://www.bbb.org/us/fl/homestead/profile/paving-contractors/florida-paving-trucking-inc-0633-5003759" TargetMode="External"/><Relationship Id="rId11" Type="http://schemas.openxmlformats.org/officeDocument/2006/relationships/hyperlink" Target="https://www.bbb.org/us/fl/homestead/profile/paving-contractors/florida-paving-trucking-inc-0633-5003759" TargetMode="External"/><Relationship Id="rId12" Type="http://schemas.openxmlformats.org/officeDocument/2006/relationships/hyperlink" Target="https://www.manta.com/c/mm2vydb/marante-forwarding-co-inc" TargetMode="External"/><Relationship Id="rId13" Type="http://schemas.openxmlformats.org/officeDocument/2006/relationships/hyperlink" Target="https://www.manta.com/c/mm2vydb/marante-forwarding-co-inc" TargetMode="External"/><Relationship Id="rId14" Type="http://schemas.openxmlformats.org/officeDocument/2006/relationships/hyperlink" Target="http://www.truckbrokeragebynational.com/" TargetMode="External"/><Relationship Id="rId15" Type="http://schemas.openxmlformats.org/officeDocument/2006/relationships/hyperlink" Target="http://www.truckbrokeragebynational.com/Contact-Us.html" TargetMode="External"/><Relationship Id="rId16" Type="http://schemas.openxmlformats.org/officeDocument/2006/relationships/hyperlink" Target="https://www.constructgroupcorp.com/" TargetMode="External"/><Relationship Id="rId17" Type="http://schemas.openxmlformats.org/officeDocument/2006/relationships/hyperlink" Target="https://www.yelp.com/biz/construct-group-corporation-hialeah" TargetMode="External"/><Relationship Id="rId18" Type="http://schemas.openxmlformats.org/officeDocument/2006/relationships/hyperlink" Target="https://local.yahoo.com/info-195070502-construct-group-corp-hialeah-gardens/" TargetMode="External"/><Relationship Id="rId19" Type="http://schemas.openxmlformats.org/officeDocument/2006/relationships/hyperlink" Target="https://www.buildzoom.com/contractor/professional-plumbing-corp" TargetMode="External"/><Relationship Id="rId20" Type="http://schemas.openxmlformats.org/officeDocument/2006/relationships/hyperlink" Target="https://www.facebook.com/p/Professional-Plumbing-Corp-100068491297165/" TargetMode="External"/><Relationship Id="rId21" Type="http://schemas.openxmlformats.org/officeDocument/2006/relationships/hyperlink" Target="https://www.yelp.com/biz/professional-plumbing-hialeah" TargetMode="External"/><Relationship Id="rId22" Type="http://schemas.openxmlformats.org/officeDocument/2006/relationships/hyperlink" Target="http://www.proplumb.net/contact_us.php" TargetMode="External"/><Relationship Id="rId23" Type="http://schemas.openxmlformats.org/officeDocument/2006/relationships/hyperlink" Target="https://www.manta.com/c/mhx9tn8/aa-florida-pallets-inc" TargetMode="External"/><Relationship Id="rId24" Type="http://schemas.openxmlformats.org/officeDocument/2006/relationships/hyperlink" Target="http://aafloridapallets.com/contact/" TargetMode="External"/><Relationship Id="rId25" Type="http://schemas.openxmlformats.org/officeDocument/2006/relationships/hyperlink" Target="https://www.carriersource.io/carriers/high-quality-trucking-inc" TargetMode="External"/><Relationship Id="rId26" Type="http://schemas.openxmlformats.org/officeDocument/2006/relationships/hyperlink" Target="https://bubba.ai/trucking-companies/florida/medley/high-quality-trucking-inc-1571543" TargetMode="External"/><Relationship Id="rId27" Type="http://schemas.openxmlformats.org/officeDocument/2006/relationships/hyperlink" Target="https://www.facebook.com/hialeahbakery/" TargetMode="External"/><Relationship Id="rId28" Type="http://schemas.openxmlformats.org/officeDocument/2006/relationships/hyperlink" Target="https://www.facebook.com/hialeahbakery/" TargetMode="External"/><Relationship Id="rId29" Type="http://schemas.openxmlformats.org/officeDocument/2006/relationships/hyperlink" Target="https://www.yelp.com/biz/hialeah-bakery-hialeah" TargetMode="External"/><Relationship Id="rId30" Type="http://schemas.openxmlformats.org/officeDocument/2006/relationships/hyperlink" Target="https://www.yellowpages.com/hialeah-fl/mip/hialeah-bakery-and-foods-inc-516471321" TargetMode="External"/><Relationship Id="rId31" Type="http://schemas.openxmlformats.org/officeDocument/2006/relationships/hyperlink" Target="https://www.yelp.com/biz/los-tres-conejitos-bakery-hialeah" TargetMode="External"/><Relationship Id="rId32" Type="http://schemas.openxmlformats.org/officeDocument/2006/relationships/hyperlink" Target="https://www.facebook.com/p/Los-3-Conejitos-Bakery-100065355975126/" TargetMode="External"/><Relationship Id="rId33" Type="http://schemas.openxmlformats.org/officeDocument/2006/relationships/hyperlink" Target="https://www.instagram.com/los3conejitosbakery/" TargetMode="External"/><Relationship Id="rId34" Type="http://schemas.openxmlformats.org/officeDocument/2006/relationships/hyperlink" Target="https://www.yelp.com/biz/los-tres-conejitos-bakery-hialeah" TargetMode="External"/><Relationship Id="rId35" Type="http://schemas.openxmlformats.org/officeDocument/2006/relationships/hyperlink" Target="https://www.yellowpages.com/hialeah-fl/mip/los-tres-conejitos-bakery-9677333" TargetMode="External"/><Relationship Id="rId36" Type="http://schemas.openxmlformats.org/officeDocument/2006/relationships/hyperlink" Target="https://www.yelp.com/biz/tango-body-shop-hialeah" TargetMode="External"/><Relationship Id="rId37" Type="http://schemas.openxmlformats.org/officeDocument/2006/relationships/hyperlink" Target="https://www.yelp.com/biz/tango-body-shop-hialeah" TargetMode="External"/><Relationship Id="rId38" Type="http://schemas.openxmlformats.org/officeDocument/2006/relationships/hyperlink" Target="https://www.showmelocal.com/profile.aspx?bid=8986658" TargetMode="External"/><Relationship Id="rId39" Type="http://schemas.openxmlformats.org/officeDocument/2006/relationships/hyperlink" Target="https://www.bbb.org/us/fl/hialeah/profile/auto-body-repair-and-painting/procollision-center-llc-0633-90024812" TargetMode="External"/><Relationship Id="rId40" Type="http://schemas.openxmlformats.org/officeDocument/2006/relationships/hyperlink" Target="https://www.facebook.com/procollision75/" TargetMode="External"/><Relationship Id="rId41" Type="http://schemas.openxmlformats.org/officeDocument/2006/relationships/hyperlink" Target="https://www.yelp.com/biz/pro-collision-center-hialeah" TargetMode="External"/><Relationship Id="rId42" Type="http://schemas.openxmlformats.org/officeDocument/2006/relationships/hyperlink" Target="https://www.yelp.com/biz/pro-collision-center-hialeah" TargetMode="External"/><Relationship Id="rId43" Type="http://schemas.openxmlformats.org/officeDocument/2006/relationships/hyperlink" Target="https://www.manta.com/c/mm43fmb/sari-express-forwarders-inc" TargetMode="External"/><Relationship Id="rId44" Type="http://schemas.openxmlformats.org/officeDocument/2006/relationships/hyperlink" Target="https://www.yelp.com/biz/sari-express-forwarders-hialeah" TargetMode="External"/><Relationship Id="rId45" Type="http://schemas.openxmlformats.org/officeDocument/2006/relationships/hyperlink" Target="https://local.yahoo.com/info-14171006-sari-express-forwarders-incorporated-hialeah" TargetMode="External"/><Relationship Id="rId46" Type="http://schemas.openxmlformats.org/officeDocument/2006/relationships/hyperlink" Target="https://www.manta.com/mb_55_B52DB05K_33S/freight_forwarding/hialeah_fl" TargetMode="External"/><Relationship Id="rId47" Type="http://schemas.openxmlformats.org/officeDocument/2006/relationships/hyperlink" Target="https://www.yellowpages.com/hialeah-fl/mip/global-cargo-connection-inc-28687289" TargetMode="External"/><Relationship Id="rId48" Type="http://schemas.openxmlformats.org/officeDocument/2006/relationships/hyperlink" Target="https://local.yahoo.com/info-211983306-marante-distributors-corp-hialeah/" TargetMode="External"/><Relationship Id="rId49" Type="http://schemas.openxmlformats.org/officeDocument/2006/relationships/hyperlink" Target="https://local.yahoo.com/info-211983306-marante-distributors-corp-hialeah/" TargetMode="External"/><Relationship Id="rId50" Type="http://schemas.openxmlformats.org/officeDocument/2006/relationships/hyperlink" Target="https://www.yelp.com/biz/medina-and-son-plumbing-supply-hialeah" TargetMode="External"/><Relationship Id="rId51" Type="http://schemas.openxmlformats.org/officeDocument/2006/relationships/hyperlink" Target="https://www.facebook.com/p/Medina-Sons-Plumbing-Supply-100066909060360/" TargetMode="External"/><Relationship Id="rId52" Type="http://schemas.openxmlformats.org/officeDocument/2006/relationships/hyperlink" Target="https://www.yelp.com/biz/medina-and-son-plumbing-supply-hialeah" TargetMode="External"/><Relationship Id="rId53" Type="http://schemas.openxmlformats.org/officeDocument/2006/relationships/hyperlink" Target="https://www.yellowpages.com/hialeah-fl/mip/medina-son-plumbing-supply-inc-480070831" TargetMode="External"/><Relationship Id="rId54" Type="http://schemas.openxmlformats.org/officeDocument/2006/relationships/hyperlink" Target="https://www.manta.com/c/mmf1sbc/manny-s-plumbing-service" TargetMode="External"/><Relationship Id="rId55" Type="http://schemas.openxmlformats.org/officeDocument/2006/relationships/hyperlink" Target="https://www.yelp.com/biz/mannys-plumbing-service-hialeah" TargetMode="External"/><Relationship Id="rId56" Type="http://schemas.openxmlformats.org/officeDocument/2006/relationships/hyperlink" Target="https://local.yahoo.com/info-14173587-manny-s-plumbing-service-hialeah/" TargetMode="External"/><Relationship Id="rId57" Type="http://schemas.openxmlformats.org/officeDocument/2006/relationships/hyperlink" Target="https://www.bbb.org/us/fl/hialeah/profile/impact-windows/all-star-aluminum-windows-doors-inc-0633-90034252" TargetMode="External"/><Relationship Id="rId58" Type="http://schemas.openxmlformats.org/officeDocument/2006/relationships/hyperlink" Target="https://www.facebook.com/ALLSTARALUMINUMWINDOWS/" TargetMode="External"/><Relationship Id="rId59" Type="http://schemas.openxmlformats.org/officeDocument/2006/relationships/hyperlink" Target="https://www.yelp.com/biz/all-star-aluminum-window-and-doors-hialeah" TargetMode="External"/><Relationship Id="rId60" Type="http://schemas.openxmlformats.org/officeDocument/2006/relationships/hyperlink" Target="https://allstaraluminum.com/contact/" TargetMode="External"/><Relationship Id="rId61" Type="http://schemas.openxmlformats.org/officeDocument/2006/relationships/hyperlink" Target="https://www.manta.com/c/mtqlxt4/panther-co-inc" TargetMode="External"/><Relationship Id="rId62" Type="http://schemas.openxmlformats.org/officeDocument/2006/relationships/hyperlink" Target="https://www.facebook.com/PantherandCo/" TargetMode="External"/><Relationship Id="rId63" Type="http://schemas.openxmlformats.org/officeDocument/2006/relationships/hyperlink" Target="https://www.instagram.com/panthertrucking/" TargetMode="External"/><Relationship Id="rId64" Type="http://schemas.openxmlformats.org/officeDocument/2006/relationships/hyperlink" Target="https://www.manta.com/c/mtqlxt4/panther-co-inc" TargetMode="External"/><Relationship Id="rId65" Type="http://schemas.openxmlformats.org/officeDocument/2006/relationships/hyperlink" Target="https://www.yellowpages.com/medley-fl/medley-steel-and-supply-inc" TargetMode="External"/><Relationship Id="rId66" Type="http://schemas.openxmlformats.org/officeDocument/2006/relationships/hyperlink" Target="https://www.facebook.com/Medleysteelsupply/" TargetMode="External"/><Relationship Id="rId67" Type="http://schemas.openxmlformats.org/officeDocument/2006/relationships/hyperlink" Target="https://www.linkedin.com/company/medley-steel-&amp;-supply-inc" TargetMode="External"/><Relationship Id="rId68" Type="http://schemas.openxmlformats.org/officeDocument/2006/relationships/hyperlink" Target="https://www.yelp.com/biz/medley-steel-supply-medley" TargetMode="External"/><Relationship Id="rId69" Type="http://schemas.openxmlformats.org/officeDocument/2006/relationships/hyperlink" Target="https://medleysteel.com/contact" TargetMode="External"/><Relationship Id="rId70" Type="http://schemas.openxmlformats.org/officeDocument/2006/relationships/hyperlink" Target="https://www.facebook.com/amigopallets/" TargetMode="External"/><Relationship Id="rId71" Type="http://schemas.openxmlformats.org/officeDocument/2006/relationships/hyperlink" Target="https://www.facebook.com/amigopallets/" TargetMode="External"/><Relationship Id="rId72" Type="http://schemas.openxmlformats.org/officeDocument/2006/relationships/hyperlink" Target="https://www.linkedin.com/company/amigo-pallets-florida" TargetMode="External"/><Relationship Id="rId73" Type="http://schemas.openxmlformats.org/officeDocument/2006/relationships/hyperlink" Target="https://amigopallets.com/contact-us/" TargetMode="External"/><Relationship Id="rId74" Type="http://schemas.openxmlformats.org/officeDocument/2006/relationships/hyperlink" Target="https://www.dnb.com/business-directory/company-profiles.medley_machine_shop_inc.b0232bd608d5d99948dd3a3504105627.html" TargetMode="External"/><Relationship Id="rId75" Type="http://schemas.openxmlformats.org/officeDocument/2006/relationships/hyperlink" Target="https://www.yelp.com/biz/medley-machine-shop-and-welding-service-medley" TargetMode="External"/><Relationship Id="rId76" Type="http://schemas.openxmlformats.org/officeDocument/2006/relationships/hyperlink" Target="https://www.medleymachine.com/contact" TargetMode="External"/><Relationship Id="rId77" Type="http://schemas.openxmlformats.org/officeDocument/2006/relationships/hyperlink" Target="https://www.yelp.com/biz/pablos-machine-shop-and-welding-corp-medley" TargetMode="External"/><Relationship Id="rId78" Type="http://schemas.openxmlformats.org/officeDocument/2006/relationships/hyperlink" Target="https://www.yelp.com/biz/pablos-machine-shop-and-welding-corp-medley" TargetMode="External"/><Relationship Id="rId79" Type="http://schemas.openxmlformats.org/officeDocument/2006/relationships/hyperlink" Target="https://local.yahoo.com/info-102811657-pablo-s-machine-shop-welding-corp-medley/" TargetMode="External"/><Relationship Id="rId80" Type="http://schemas.openxmlformats.org/officeDocument/2006/relationships/hyperlink" Target="https://www.manta.com/c/mm4dqwp/gondia-machine-shop" TargetMode="External"/><Relationship Id="rId81" Type="http://schemas.openxmlformats.org/officeDocument/2006/relationships/hyperlink" Target="https://www.yelp.com/biz/gondia-machine-shop-medley" TargetMode="External"/><Relationship Id="rId82" Type="http://schemas.openxmlformats.org/officeDocument/2006/relationships/hyperlink" Target="https://www.yellowpages.com/medley-fl/mip/gondia-machine-shop-inc-5836328" TargetMode="External"/><Relationship Id="rId83" Type="http://schemas.openxmlformats.org/officeDocument/2006/relationships/hyperlink" Target="https://www.manta.com/c/mhcrbf8/super-diesel-truck-repair-inc" TargetMode="External"/><Relationship Id="rId84" Type="http://schemas.openxmlformats.org/officeDocument/2006/relationships/hyperlink" Target="https://www.yelp.com/biz/super-diesel-truck-repair-medley" TargetMode="External"/><Relationship Id="rId85" Type="http://schemas.openxmlformats.org/officeDocument/2006/relationships/hyperlink" Target="https://www.yellowpages.com/medley-fl/mip/super-diesel-truck-repair-9289623" TargetMode="External"/><Relationship Id="rId86" Type="http://schemas.openxmlformats.org/officeDocument/2006/relationships/hyperlink" Target="https://www.yelp.com/biz/larosa-diesel-mechanical-medley" TargetMode="External"/><Relationship Id="rId87" Type="http://schemas.openxmlformats.org/officeDocument/2006/relationships/hyperlink" Target="https://www.yelp.com/biz/larosa-diesel-mechanical-medley" TargetMode="External"/><Relationship Id="rId88" Type="http://schemas.openxmlformats.org/officeDocument/2006/relationships/hyperlink" Target="https://larosadieselmechanical.com/" TargetMode="External"/><Relationship Id="rId89" Type="http://schemas.openxmlformats.org/officeDocument/2006/relationships/hyperlink" Target="https://www.yelp.com/biz/cyma-truck-repair-medley" TargetMode="External"/><Relationship Id="rId90" Type="http://schemas.openxmlformats.org/officeDocument/2006/relationships/hyperlink" Target="https://www.facebook.com/CymaTruckRepairsCorp/" TargetMode="External"/><Relationship Id="rId91" Type="http://schemas.openxmlformats.org/officeDocument/2006/relationships/hyperlink" Target="https://www.yelp.com/biz/cyma-truck-repair-medley" TargetMode="External"/><Relationship Id="rId92" Type="http://schemas.openxmlformats.org/officeDocument/2006/relationships/hyperlink" Target="https://www.yelp.com/biz/cyma-truck-repair-medley" TargetMode="External"/><Relationship Id="rId93" Type="http://schemas.openxmlformats.org/officeDocument/2006/relationships/hyperlink" Target="https://www.manta.com/c/mm21vw1/international-cruise-food-hotel-suppliers-inc" TargetMode="External"/><Relationship Id="rId94" Type="http://schemas.openxmlformats.org/officeDocument/2006/relationships/hyperlink" Target="https://www.linkedin.com/company/international-cruise-food-hotel-suppliers-inc" TargetMode="External"/><Relationship Id="rId95" Type="http://schemas.openxmlformats.org/officeDocument/2006/relationships/hyperlink" Target="https://icfh.com/contact-us/" TargetMode="External"/><Relationship Id="rId96" Type="http://schemas.openxmlformats.org/officeDocument/2006/relationships/hyperlink" Target="https://www.allsteelproducts.com/index.html" TargetMode="External"/><Relationship Id="rId97" Type="http://schemas.openxmlformats.org/officeDocument/2006/relationships/hyperlink" Target="https://www.linkedin.com/company/allsteel-&amp;-gypsum-inc" TargetMode="External"/><Relationship Id="rId98" Type="http://schemas.openxmlformats.org/officeDocument/2006/relationships/hyperlink" Target="https://www.yelp.com/biz/allsteel-and-gypsum-medley-2" TargetMode="External"/><Relationship Id="rId99" Type="http://schemas.openxmlformats.org/officeDocument/2006/relationships/hyperlink" Target="https://www.allsteelproducts.com/contact.php" TargetMode="External"/><Relationship Id="rId100" Type="http://schemas.openxmlformats.org/officeDocument/2006/relationships/hyperlink" Target="https://buildingrenewable.com/12-best-precast-concrete-construction-companies-in-florida/" TargetMode="External"/><Relationship Id="rId101" Type="http://schemas.openxmlformats.org/officeDocument/2006/relationships/hyperlink" Target="https://www.facebook.com/spimiami/" TargetMode="External"/><Relationship Id="rId102" Type="http://schemas.openxmlformats.org/officeDocument/2006/relationships/hyperlink" Target="https://www.linkedin.com/company/structural-prestressed-industries-inc-" TargetMode="External"/><Relationship Id="rId103" Type="http://schemas.openxmlformats.org/officeDocument/2006/relationships/hyperlink" Target="http://www.buzzfile.com/business/SPI-305-556-6699" TargetMode="External"/><Relationship Id="rId104" Type="http://schemas.openxmlformats.org/officeDocument/2006/relationships/hyperlink" Target="https://www.manta.com/c/mm33hkb/doral-freight-logistics-inc" TargetMode="External"/><Relationship Id="rId105" Type="http://schemas.openxmlformats.org/officeDocument/2006/relationships/hyperlink" Target="https://m.yelp.com/biz/doral-freight-logistics-doral" TargetMode="External"/><Relationship Id="rId106" Type="http://schemas.openxmlformats.org/officeDocument/2006/relationships/hyperlink" Target="https://doralfreight.com/doral-freight/contact-us/" TargetMode="External"/><Relationship Id="rId107" Type="http://schemas.openxmlformats.org/officeDocument/2006/relationships/hyperlink" Target="https://www.manta.com/c/mmgmgjl/senaduana-freight-forwarders-inc" TargetMode="External"/><Relationship Id="rId108" Type="http://schemas.openxmlformats.org/officeDocument/2006/relationships/hyperlink" Target="https://www.yelp.com/biz/senaduana-freight-forwarders-doral" TargetMode="External"/><Relationship Id="rId109" Type="http://schemas.openxmlformats.org/officeDocument/2006/relationships/hyperlink" Target="https://www.chamberofcommerce.com/business-directory/florida/doral/freight-forwarding-service/2002172929-senaduana-freight-forwarders" TargetMode="External"/><Relationship Id="rId110" Type="http://schemas.openxmlformats.org/officeDocument/2006/relationships/hyperlink" Target="https://www.manta.com/c/mhks6tw/conavenca-freight-forwarder-llc" TargetMode="External"/><Relationship Id="rId111" Type="http://schemas.openxmlformats.org/officeDocument/2006/relationships/hyperlink" Target="https://www.facebook.com/conavenca/" TargetMode="External"/><Relationship Id="rId112" Type="http://schemas.openxmlformats.org/officeDocument/2006/relationships/hyperlink" Target="https://freight-forwarding-companies.cmac.ws/conavenca-freight-forwarder/14222/" TargetMode="External"/><Relationship Id="rId113" Type="http://schemas.openxmlformats.org/officeDocument/2006/relationships/hyperlink" Target="https://www.manta.com/c/mbg66v7/tmc-import-export-co" TargetMode="External"/><Relationship Id="rId114" Type="http://schemas.openxmlformats.org/officeDocument/2006/relationships/hyperlink" Target="https://www.bizapedia.com/fl/barahonas-food-distributor-llc.html" TargetMode="External"/><Relationship Id="rId115" Type="http://schemas.openxmlformats.org/officeDocument/2006/relationships/hyperlink" Target="https://www.yellowpages.com/doral-fl/mip/barahonas-food-distributor-547632699" TargetMode="External"/><Relationship Id="rId116" Type="http://schemas.openxmlformats.org/officeDocument/2006/relationships/hyperlink" Target="https://www.bizapedia.com/fl/loman-distributors-inc.html" TargetMode="External"/><Relationship Id="rId117" Type="http://schemas.openxmlformats.org/officeDocument/2006/relationships/hyperlink" Target="https://www.yelp.com/biz/loman-distributers-doral" TargetMode="External"/><Relationship Id="rId118" Type="http://schemas.openxmlformats.org/officeDocument/2006/relationships/hyperlink" Target="https://fabric-stores.cmac.ws/loman-distributors/11229/" TargetMode="External"/><Relationship Id="rId119" Type="http://schemas.openxmlformats.org/officeDocument/2006/relationships/hyperlink" Target="https://www.facebook.com/kkdentaldoral/" TargetMode="External"/><Relationship Id="rId120" Type="http://schemas.openxmlformats.org/officeDocument/2006/relationships/hyperlink" Target="https://www.facebook.com/kkdentaldoral/" TargetMode="External"/><Relationship Id="rId121" Type="http://schemas.openxmlformats.org/officeDocument/2006/relationships/hyperlink" Target="https://www.instagram.com/kkdental/" TargetMode="External"/><Relationship Id="rId122" Type="http://schemas.openxmlformats.org/officeDocument/2006/relationships/hyperlink" Target="https://www.patientconnect365.com/MicrositeContact/Florida/Doral/33172/K__K_Dental" TargetMode="External"/><Relationship Id="rId123" Type="http://schemas.openxmlformats.org/officeDocument/2006/relationships/hyperlink" Target="https://www.facebook.com/doralfamilydentalfl/" TargetMode="External"/><Relationship Id="rId124" Type="http://schemas.openxmlformats.org/officeDocument/2006/relationships/hyperlink" Target="https://www.facebook.com/doralfamilydentalfl/" TargetMode="External"/><Relationship Id="rId125" Type="http://schemas.openxmlformats.org/officeDocument/2006/relationships/hyperlink" Target="https://www.yelp.com/biz/doral-family-dental-doral" TargetMode="External"/><Relationship Id="rId126" Type="http://schemas.openxmlformats.org/officeDocument/2006/relationships/hyperlink" Target="https://doralfamilydental.com/about/" TargetMode="External"/><Relationship Id="rId127" Type="http://schemas.openxmlformats.org/officeDocument/2006/relationships/hyperlink" Target="https://www.bbb.org/us/fl/miami/profile/organic-food/brothers-produce-inc-0633-90067698" TargetMode="External"/><Relationship Id="rId128" Type="http://schemas.openxmlformats.org/officeDocument/2006/relationships/hyperlink" Target="https://www.yelp.com/biz/brothers-produce-miami" TargetMode="External"/><Relationship Id="rId129" Type="http://schemas.openxmlformats.org/officeDocument/2006/relationships/hyperlink" Target="https://www.yellowpages.com/miami-fl/mip/brothers-produce-inc-566403749" TargetMode="External"/><Relationship Id="rId130" Type="http://schemas.openxmlformats.org/officeDocument/2006/relationships/hyperlink" Target="https://www.yelp.com/biz/4-u-unlimited-miami" TargetMode="External"/><Relationship Id="rId131" Type="http://schemas.openxmlformats.org/officeDocument/2006/relationships/hyperlink" Target="https://www.yelp.com/biz/4-u-unlimited-miami" TargetMode="External"/><Relationship Id="rId132" Type="http://schemas.openxmlformats.org/officeDocument/2006/relationships/hyperlink" Target="https://www.yellowpages.com/miami-fl/mip/4-u-unlimited-6865283" TargetMode="External"/><Relationship Id="rId133" Type="http://schemas.openxmlformats.org/officeDocument/2006/relationships/hyperlink" Target="https://excellentfruitandproduce.com/about-us/" TargetMode="External"/><Relationship Id="rId134" Type="http://schemas.openxmlformats.org/officeDocument/2006/relationships/hyperlink" Target="https://www.facebook.com/excellentfruitandproduce/" TargetMode="External"/><Relationship Id="rId135" Type="http://schemas.openxmlformats.org/officeDocument/2006/relationships/hyperlink" Target="https://www.instagram.com/excellent_fruit_and_produce/" TargetMode="External"/><Relationship Id="rId136" Type="http://schemas.openxmlformats.org/officeDocument/2006/relationships/hyperlink" Target="https://www.linkedin.com/company/excellent-fruit-&amp;-produce" TargetMode="External"/><Relationship Id="rId137" Type="http://schemas.openxmlformats.org/officeDocument/2006/relationships/hyperlink" Target="https://www.yelp.com/biz/excellent-fruit-and-produce-miami" TargetMode="External"/><Relationship Id="rId138" Type="http://schemas.openxmlformats.org/officeDocument/2006/relationships/hyperlink" Target="https://excellentfruitandproduce.com/contact/" TargetMode="External"/><Relationship Id="rId139" Type="http://schemas.openxmlformats.org/officeDocument/2006/relationships/hyperlink" Target="https://www.yelp.com/biz/martinez-distributors-miami-2" TargetMode="External"/><Relationship Id="rId140" Type="http://schemas.openxmlformats.org/officeDocument/2006/relationships/hyperlink" Target="https://www.facebook.com/MartinezDistributors/" TargetMode="External"/><Relationship Id="rId141" Type="http://schemas.openxmlformats.org/officeDocument/2006/relationships/hyperlink" Target="https://www.yelp.com/biz/martinez-distributors-miami-2" TargetMode="External"/><Relationship Id="rId142" Type="http://schemas.openxmlformats.org/officeDocument/2006/relationships/hyperlink" Target="https://www.mdist.us/contact" TargetMode="External"/><Relationship Id="rId143" Type="http://schemas.openxmlformats.org/officeDocument/2006/relationships/hyperlink" Target="https://www.facebook.com/reydelasfritas/" TargetMode="External"/><Relationship Id="rId144" Type="http://schemas.openxmlformats.org/officeDocument/2006/relationships/hyperlink" Target="https://www.facebook.com/reydelasfritas/" TargetMode="External"/><Relationship Id="rId145" Type="http://schemas.openxmlformats.org/officeDocument/2006/relationships/hyperlink" Target="https://www.instagram.com/reydelasfritas/" TargetMode="External"/><Relationship Id="rId146" Type="http://schemas.openxmlformats.org/officeDocument/2006/relationships/hyperlink" Target="https://www.yelp.com/biz/el-rey-de-las-fritas-miami" TargetMode="External"/><Relationship Id="rId147" Type="http://schemas.openxmlformats.org/officeDocument/2006/relationships/hyperlink" Target="https://www.elreydelasfritas.com/contact" TargetMode="External"/><Relationship Id="rId148" Type="http://schemas.openxmlformats.org/officeDocument/2006/relationships/hyperlink" Target="https://www.neighborhoods.com/blog/cuban-restaurants-in-little-havana-you-cant-miss" TargetMode="External"/><Relationship Id="rId149" Type="http://schemas.openxmlformats.org/officeDocument/2006/relationships/hyperlink" Target="https://www.facebook.com/exquisitomiami/" TargetMode="External"/><Relationship Id="rId150" Type="http://schemas.openxmlformats.org/officeDocument/2006/relationships/hyperlink" Target="https://www.yelp.com/biz/el-exquisito-miami-2" TargetMode="External"/><Relationship Id="rId151" Type="http://schemas.openxmlformats.org/officeDocument/2006/relationships/hyperlink" Target="https://www.tripadvisor.com/Restaurant_Review-g34438-d34598756-Reviews-El_Exquisito-Miami_Florida.html" TargetMode="External"/><Relationship Id="rId152" Type="http://schemas.openxmlformats.org/officeDocument/2006/relationships/hyperlink" Target="https://www.bbb.org/us/fl/miami/profile/heating-and-air-conditioning/kendale-air-conditioning-0633-23009691" TargetMode="External"/><Relationship Id="rId153" Type="http://schemas.openxmlformats.org/officeDocument/2006/relationships/hyperlink" Target="https://www.facebook.com/air.repair.miami/" TargetMode="External"/><Relationship Id="rId154" Type="http://schemas.openxmlformats.org/officeDocument/2006/relationships/hyperlink" Target="https://www.linkedin.com/company/kendale-air-conditioning" TargetMode="External"/><Relationship Id="rId155" Type="http://schemas.openxmlformats.org/officeDocument/2006/relationships/hyperlink" Target="https://www.yelp.com/biz/kendale-air-conditioning-miami" TargetMode="External"/><Relationship Id="rId156" Type="http://schemas.openxmlformats.org/officeDocument/2006/relationships/hyperlink" Target="https://www.yelp.com/biz/kendale-air-conditioning-miami" TargetMode="External"/><Relationship Id="rId157" Type="http://schemas.openxmlformats.org/officeDocument/2006/relationships/hyperlink" Target="https://doctor.webmd.com/practice/kendall-south-medical-center-inc-422a0a48-1a37-46b1-973c-95ba062d11e3" TargetMode="External"/><Relationship Id="rId158" Type="http://schemas.openxmlformats.org/officeDocument/2006/relationships/hyperlink" Target="https://www.facebook.com/KendallSouthMedicalCenter/" TargetMode="External"/><Relationship Id="rId159" Type="http://schemas.openxmlformats.org/officeDocument/2006/relationships/hyperlink" Target="https://www.linkedin.com/company/kendall-south-medical-center-inc" TargetMode="External"/><Relationship Id="rId160" Type="http://schemas.openxmlformats.org/officeDocument/2006/relationships/hyperlink" Target="https://www.yelp.com/biz/kendall-south-medical-center-miami" TargetMode="External"/><Relationship Id="rId161" Type="http://schemas.openxmlformats.org/officeDocument/2006/relationships/hyperlink" Target="https://www.healthgrades.com/group-directory/fl-florida/miami/kendall-south-medical-centre-xtjrlc" TargetMode="External"/><Relationship Id="rId162" Type="http://schemas.openxmlformats.org/officeDocument/2006/relationships/hyperlink" Target="https://doctor.webmd.com/practice/kendall-medical-center-inc-773643c8-4703-e211-a42b-001f29e3eb44-physicians/alpha/all" TargetMode="External"/><Relationship Id="rId163" Type="http://schemas.openxmlformats.org/officeDocument/2006/relationships/hyperlink" Target="https://www.yelp.com/biz/kendall-medical-center-miami" TargetMode="External"/><Relationship Id="rId164" Type="http://schemas.openxmlformats.org/officeDocument/2006/relationships/hyperlink" Target="https://www.healthgrades.com/group-directory/fl-florida/miami/kendall-medical-center-x8lgvn" TargetMode="External"/><Relationship Id="rId165" Type="http://schemas.openxmlformats.org/officeDocument/2006/relationships/hyperlink" Target="https://www.bbb.org/us/fl/homestead/profile/auto-repair/krome-auto-tire-svc-0633-90269976" TargetMode="External"/><Relationship Id="rId166" Type="http://schemas.openxmlformats.org/officeDocument/2006/relationships/hyperlink" Target="https://www.yelp.com/biz/krome-auto-and-tire-homestead" TargetMode="External"/><Relationship Id="rId167" Type="http://schemas.openxmlformats.org/officeDocument/2006/relationships/hyperlink" Target="https://www.yelp.com/biz/krome-auto-and-tire-homestead" TargetMode="External"/><Relationship Id="rId168" Type="http://schemas.openxmlformats.org/officeDocument/2006/relationships/hyperlink" Target="https://www.facebook.com/rplantsinc/" TargetMode="External"/><Relationship Id="rId169" Type="http://schemas.openxmlformats.org/officeDocument/2006/relationships/hyperlink" Target="https://www.facebook.com/rplantsinc/" TargetMode="External"/><Relationship Id="rId170" Type="http://schemas.openxmlformats.org/officeDocument/2006/relationships/hyperlink" Target="https://www.yelp.com/biz/r-plants-homestead-2" TargetMode="External"/><Relationship Id="rId171" Type="http://schemas.openxmlformats.org/officeDocument/2006/relationships/hyperlink" Target="https://www.rplantsinc.com/contact" TargetMode="External"/><Relationship Id="rId172" Type="http://schemas.openxmlformats.org/officeDocument/2006/relationships/hyperlink" Target="https://www.manta.com/c/mvvd9cj/liner-growers-nursery" TargetMode="External"/><Relationship Id="rId173" Type="http://schemas.openxmlformats.org/officeDocument/2006/relationships/hyperlink" Target="https://www.facebook.com/p/Liner-Growers-Nursery-100064570097118/" TargetMode="External"/><Relationship Id="rId174" Type="http://schemas.openxmlformats.org/officeDocument/2006/relationships/hyperlink" Target="https://www.yelp.com/biz/liner-growers-nursery-homestead-3" TargetMode="External"/><Relationship Id="rId175" Type="http://schemas.openxmlformats.org/officeDocument/2006/relationships/hyperlink" Target="https://www.yellowpages.com/homestead-fl/mip/liner-growers-nursery-459005189" TargetMode="External"/><Relationship Id="rId176" Type="http://schemas.openxmlformats.org/officeDocument/2006/relationships/hyperlink" Target="https://www.manta.com/mb_55_B80C105M_345/nursery_stock/homestead_fl" TargetMode="External"/><Relationship Id="rId177" Type="http://schemas.openxmlformats.org/officeDocument/2006/relationships/hyperlink" Target="https://www.facebook.com/p/Manuel-Diaz-Farms-100068054691116/" TargetMode="External"/><Relationship Id="rId178" Type="http://schemas.openxmlformats.org/officeDocument/2006/relationships/hyperlink" Target="https://www.manueldiazfarms.com/contact-us/" TargetMode="External"/><Relationship Id="rId179" Type="http://schemas.openxmlformats.org/officeDocument/2006/relationships/hyperlink" Target="https://www.manta.com/mb_55_B80C105M_345/nursery_stock/homestead_fl" TargetMode="External"/><Relationship Id="rId180" Type="http://schemas.openxmlformats.org/officeDocument/2006/relationships/hyperlink" Target="https://www.facebook.com/QualityGrowersInc/" TargetMode="External"/><Relationship Id="rId181" Type="http://schemas.openxmlformats.org/officeDocument/2006/relationships/hyperlink" Target="https://www.yellowpages.com/homestead-fl/mip/quality-growers-inc-13649572" TargetMode="External"/><Relationship Id="rId182" Type="http://schemas.openxmlformats.org/officeDocument/2006/relationships/hyperlink" Target="https://www.manta.com/mb_55_B80C105M_345/nursery_stock/homestead_fl" TargetMode="External"/><Relationship Id="rId183" Type="http://schemas.openxmlformats.org/officeDocument/2006/relationships/hyperlink" Target="https://www.yelp.com/biz/medallion-trees-farms-homestead" TargetMode="External"/><Relationship Id="rId184" Type="http://schemas.openxmlformats.org/officeDocument/2006/relationships/hyperlink" Target="https://www.yelp.com/biz/medallion-trees-farms-homestead" TargetMode="External"/><Relationship Id="rId185" Type="http://schemas.openxmlformats.org/officeDocument/2006/relationships/hyperlink" Target="https://ediblesouthflorida.ediblecommunities.com/eat/fresh-demand-local-produce-longtime-homestead-farm/" TargetMode="External"/><Relationship Id="rId186" Type="http://schemas.openxmlformats.org/officeDocument/2006/relationships/hyperlink" Target="https://www.bbb.org/us/fl/homestead/profile/farm/sam-s-accursio-and-sons-farms-inc-0633-92023619" TargetMode="External"/><Relationship Id="rId187" Type="http://schemas.openxmlformats.org/officeDocument/2006/relationships/hyperlink" Target="https://www.yelp.com/biz/sudsies-dry-cleaners-miami-beach" TargetMode="External"/><Relationship Id="rId188" Type="http://schemas.openxmlformats.org/officeDocument/2006/relationships/hyperlink" Target="https://www.facebook.com/SudsiesDryCleanersMiamiBeachBoutique/" TargetMode="External"/><Relationship Id="rId189" Type="http://schemas.openxmlformats.org/officeDocument/2006/relationships/hyperlink" Target="https://www.yelp.com/biz/sudsies-dry-cleaners-miami-beach" TargetMode="External"/><Relationship Id="rId190" Type="http://schemas.openxmlformats.org/officeDocument/2006/relationships/hyperlink" Target="https://www.yelp.com/biz/sudsies-dry-cleaners-miami-beach" TargetMode="External"/><Relationship Id="rId191" Type="http://schemas.openxmlformats.org/officeDocument/2006/relationships/hyperlink" Target="https://www.yelp.com/biz/complete-yacht-service-fort-lauderdale" TargetMode="External"/><Relationship Id="rId192" Type="http://schemas.openxmlformats.org/officeDocument/2006/relationships/hyperlink" Target="https://www.facebook.com/p/Complete-Yacht-Service-100063575679442/" TargetMode="External"/><Relationship Id="rId193" Type="http://schemas.openxmlformats.org/officeDocument/2006/relationships/hyperlink" Target="https://www.yelp.com/biz/complete-yacht-service-fort-lauderdale" TargetMode="External"/><Relationship Id="rId194" Type="http://schemas.openxmlformats.org/officeDocument/2006/relationships/hyperlink" Target="https://www.yelp.com/biz/complete-yacht-service-fort-lauderdale" TargetMode="External"/><Relationship Id="rId195" Type="http://schemas.openxmlformats.org/officeDocument/2006/relationships/hyperlink" Target="https://www.bbb.org/us/fl/ft-lauderdale/profile/boat-repair/superior-stainless-yacht-repair-0633-11011513" TargetMode="External"/><Relationship Id="rId196" Type="http://schemas.openxmlformats.org/officeDocument/2006/relationships/hyperlink" Target="https://www.facebook.com/p/Superior-Stainless-100069480037926/" TargetMode="External"/><Relationship Id="rId197" Type="http://schemas.openxmlformats.org/officeDocument/2006/relationships/hyperlink" Target="https://www.bbb.org/us/fl/ft-lauderdale/profile/boat-repair/superior-stainless-yacht-repair-0633-11011513" TargetMode="External"/><Relationship Id="rId198" Type="http://schemas.openxmlformats.org/officeDocument/2006/relationships/hyperlink" Target="https://www.bbb.org/us/fl/fort-lauderdale/profile/boat-repair/top-quality-yachts-refinishing-refurbishing-0633-4006026" TargetMode="External"/><Relationship Id="rId199" Type="http://schemas.openxmlformats.org/officeDocument/2006/relationships/hyperlink" Target="https://www.bbb.org/us/fl/fort-lauderdale/profile/boat-repair/top-quality-yachts-refinishing-refurbishing-0633-4006026" TargetMode="External"/><Relationship Id="rId200" Type="http://schemas.openxmlformats.org/officeDocument/2006/relationships/hyperlink" Target="https://www.manta.com/c/mmn3jvb/complete-yacht-care-inc" TargetMode="External"/><Relationship Id="rId201" Type="http://schemas.openxmlformats.org/officeDocument/2006/relationships/hyperlink" Target="https://www.yellowpages.com/fort-lauderdale-fl/mip/complete-yacht-care-inc-15318354" TargetMode="External"/><Relationship Id="rId202" Type="http://schemas.openxmlformats.org/officeDocument/2006/relationships/hyperlink" Target="https://www.bbb.org/us/fl/fort-lauderdale/profile/boat-repair/ship-side-service-0633-22003092" TargetMode="External"/><Relationship Id="rId203" Type="http://schemas.openxmlformats.org/officeDocument/2006/relationships/hyperlink" Target="https://www.yelp.com/biz/boatside-services-fort-lauderdale" TargetMode="External"/><Relationship Id="rId204" Type="http://schemas.openxmlformats.org/officeDocument/2006/relationships/hyperlink" Target="https://www.buzzfile.com/business/Boatside-Services-954-791-3700" TargetMode="External"/><Relationship Id="rId205" Type="http://schemas.openxmlformats.org/officeDocument/2006/relationships/hyperlink" Target="https://www.yelp.com/biz/shoreline-marine-pompano-beach" TargetMode="External"/><Relationship Id="rId206" Type="http://schemas.openxmlformats.org/officeDocument/2006/relationships/hyperlink" Target="https://www.yelp.com/biz/shoreline-marine-pompano-beach" TargetMode="External"/><Relationship Id="rId207" Type="http://schemas.openxmlformats.org/officeDocument/2006/relationships/hyperlink" Target="https://www.bbb.org/us/fl/pompano-beach/profile/boat-repair/shoreline-marine-llc-0633-92014132" TargetMode="External"/><Relationship Id="rId208" Type="http://schemas.openxmlformats.org/officeDocument/2006/relationships/hyperlink" Target="https://www.yelp.com/biz/yacht-mechanics-of-florida-fort-lauderdale" TargetMode="External"/><Relationship Id="rId209" Type="http://schemas.openxmlformats.org/officeDocument/2006/relationships/hyperlink" Target="https://www.facebook.com/p/Yacht-Mechanics-of-Florida-100069725744805/" TargetMode="External"/><Relationship Id="rId210" Type="http://schemas.openxmlformats.org/officeDocument/2006/relationships/hyperlink" Target="https://www.yelp.com/biz/yacht-mechanics-of-florida-fort-lauderdale" TargetMode="External"/><Relationship Id="rId211" Type="http://schemas.openxmlformats.org/officeDocument/2006/relationships/hyperlink" Target="https://yachtmechanicsofflorida.com/contact" TargetMode="External"/><Relationship Id="rId212" Type="http://schemas.openxmlformats.org/officeDocument/2006/relationships/hyperlink" Target="https://www.manta.com/c/mb5d3rb/land-sea-air-conditioning-of" TargetMode="External"/><Relationship Id="rId213" Type="http://schemas.openxmlformats.org/officeDocument/2006/relationships/hyperlink" Target="https://www.facebook.com/landandseaac/" TargetMode="External"/><Relationship Id="rId214" Type="http://schemas.openxmlformats.org/officeDocument/2006/relationships/hyperlink" Target="https://www.thebluebook.com/iProView/968217/land-sea-air-cond-of-s-florida-inc/subcontractors/locations-contacts/" TargetMode="External"/><Relationship Id="rId215" Type="http://schemas.openxmlformats.org/officeDocument/2006/relationships/hyperlink" Target="https://www.manta.com/c/mmym5vw/million-air-conditioning-corporation" TargetMode="External"/><Relationship Id="rId216" Type="http://schemas.openxmlformats.org/officeDocument/2006/relationships/hyperlink" Target="https://www.yellowpages.com/davie-fl/million-air-conditioning-corp" TargetMode="External"/><Relationship Id="rId217" Type="http://schemas.openxmlformats.org/officeDocument/2006/relationships/hyperlink" Target="https://www.bbb.org/us/fl/davie/profile/major-appliance-services/first-class-air-conditioning-appliance-inc-0633-90137525" TargetMode="External"/><Relationship Id="rId218" Type="http://schemas.openxmlformats.org/officeDocument/2006/relationships/hyperlink" Target="https://www.facebook.com/myfcaa/" TargetMode="External"/><Relationship Id="rId219" Type="http://schemas.openxmlformats.org/officeDocument/2006/relationships/hyperlink" Target="https://www.yelp.com/biz/first-class-appliances-davie-2" TargetMode="External"/><Relationship Id="rId220" Type="http://schemas.openxmlformats.org/officeDocument/2006/relationships/hyperlink" Target="https://citytocitymarket.com/first-class-appliances-davie" TargetMode="External"/><Relationship Id="rId221" Type="http://schemas.openxmlformats.org/officeDocument/2006/relationships/hyperlink" Target="https://www.bbb.org/us/fl/pompano-beach/profile/auto-repair/pompano-beach-texaco-0633-35000319" TargetMode="External"/><Relationship Id="rId222" Type="http://schemas.openxmlformats.org/officeDocument/2006/relationships/hyperlink" Target="https://www.yelp.com/biz/texaco-pompano-beach-pompano-beach" TargetMode="External"/><Relationship Id="rId223" Type="http://schemas.openxmlformats.org/officeDocument/2006/relationships/hyperlink" Target="https://www.bbb.org/us/fl/pompano-beach/profile/auto-repair/pompano-beach-texaco-0633-35000319" TargetMode="External"/><Relationship Id="rId224" Type="http://schemas.openxmlformats.org/officeDocument/2006/relationships/hyperlink" Target="https://www.bbb.org/us/fl/pompano-beach/profile/mobile-auto-repair/our-shop-auto-repairs-inc-0633-90426905" TargetMode="External"/><Relationship Id="rId225" Type="http://schemas.openxmlformats.org/officeDocument/2006/relationships/hyperlink" Target="https://www.facebook.com/ourshopautorepairs/" TargetMode="External"/><Relationship Id="rId226" Type="http://schemas.openxmlformats.org/officeDocument/2006/relationships/hyperlink" Target="https://www.instagram.com/ourshopautorepairsinc/" TargetMode="External"/><Relationship Id="rId227" Type="http://schemas.openxmlformats.org/officeDocument/2006/relationships/hyperlink" Target="https://www.yelp.com/biz/our-shop-pompano-beach" TargetMode="External"/><Relationship Id="rId228" Type="http://schemas.openxmlformats.org/officeDocument/2006/relationships/hyperlink" Target="https://www.yellowpages.com/pompano-beach-fl/mip/our-shop-auto-repairs-inc-454341308" TargetMode="External"/><Relationship Id="rId229" Type="http://schemas.openxmlformats.org/officeDocument/2006/relationships/hyperlink" Target="https://www.bbb.org/us/fl/pompano-beach/profile/auto-repair/fast-lane-auto-repairs-0633-90409985" TargetMode="External"/><Relationship Id="rId230" Type="http://schemas.openxmlformats.org/officeDocument/2006/relationships/hyperlink" Target="https://www.facebook.com/FastLaneAutoRepairs/" TargetMode="External"/><Relationship Id="rId231" Type="http://schemas.openxmlformats.org/officeDocument/2006/relationships/hyperlink" Target="https://www.yelp.com/biz/fast-lane-auto-repairs-pompano-beach" TargetMode="External"/><Relationship Id="rId232" Type="http://schemas.openxmlformats.org/officeDocument/2006/relationships/hyperlink" Target="https://www.yelp.com/biz/fast-lane-auto-repairs-pompano-beach" TargetMode="External"/><Relationship Id="rId233" Type="http://schemas.openxmlformats.org/officeDocument/2006/relationships/hyperlink" Target="https://www.bbb.org/us/fl/pompano-beach/profile/auto-repair/the-auto-spot-0633-90092971" TargetMode="External"/><Relationship Id="rId234" Type="http://schemas.openxmlformats.org/officeDocument/2006/relationships/hyperlink" Target="https://www.yelp.com/biz/the-auto-spot-pompano-beach" TargetMode="External"/><Relationship Id="rId235" Type="http://schemas.openxmlformats.org/officeDocument/2006/relationships/hyperlink" Target="https://www.yelp.com/biz/the-auto-spot-pompano-beach" TargetMode="External"/><Relationship Id="rId236" Type="http://schemas.openxmlformats.org/officeDocument/2006/relationships/hyperlink" Target="https://www.bbb.org/us/fl/pompano-beach/profile/auto-repair/original-look-0633-90132733" TargetMode="External"/><Relationship Id="rId237" Type="http://schemas.openxmlformats.org/officeDocument/2006/relationships/hyperlink" Target="https://www.facebook.com/originallookautosales/" TargetMode="External"/><Relationship Id="rId238" Type="http://schemas.openxmlformats.org/officeDocument/2006/relationships/hyperlink" Target="https://www.yelp.com/biz/original-look-auto-sales-pompano-beach" TargetMode="External"/><Relationship Id="rId239" Type="http://schemas.openxmlformats.org/officeDocument/2006/relationships/hyperlink" Target="https://www.bbb.org/us/fl/pompano-beach/profile/auto-repair/original-look-0633-90132733" TargetMode="External"/><Relationship Id="rId240" Type="http://schemas.openxmlformats.org/officeDocument/2006/relationships/hyperlink" Target="https://www.manta.com/c/mh1g76d/marina-road-boat-yard" TargetMode="External"/><Relationship Id="rId241" Type="http://schemas.openxmlformats.org/officeDocument/2006/relationships/hyperlink" Target="https://www.facebook.com/MarinaRoadBoatYard/" TargetMode="External"/><Relationship Id="rId242" Type="http://schemas.openxmlformats.org/officeDocument/2006/relationships/hyperlink" Target="https://www.instagram.com/marinaroadboatyard/" TargetMode="External"/><Relationship Id="rId243" Type="http://schemas.openxmlformats.org/officeDocument/2006/relationships/hyperlink" Target="https://www.yelp.com/biz/aqua-marina-marina-road-fort-lauderdale" TargetMode="External"/><Relationship Id="rId244" Type="http://schemas.openxmlformats.org/officeDocument/2006/relationships/hyperlink" Target="https://marinas.com/view/marina/x1cx3d_Marina_Road_Boat_Yard_Fort_Lauderdale_FL_United_States" TargetMode="External"/><Relationship Id="rId245" Type="http://schemas.openxmlformats.org/officeDocument/2006/relationships/hyperlink" Target="https://www.manta.com/c/mm0jvj4/yachting-bliss" TargetMode="External"/><Relationship Id="rId246" Type="http://schemas.openxmlformats.org/officeDocument/2006/relationships/hyperlink" Target="https://www.facebook.com/p/Yachting-Bliss-100057535448086/" TargetMode="External"/><Relationship Id="rId247" Type="http://schemas.openxmlformats.org/officeDocument/2006/relationships/hyperlink" Target="https://www.yelp.com/biz/yachting-bliss-pompano-beach" TargetMode="External"/><Relationship Id="rId248" Type="http://schemas.openxmlformats.org/officeDocument/2006/relationships/hyperlink" Target="https://yachtingbliss.com/contact-us.php" TargetMode="External"/><Relationship Id="rId249" Type="http://schemas.openxmlformats.org/officeDocument/2006/relationships/hyperlink" Target="https://www.manta.com/c/mkhwx2k/elite-yachting-solutions-llc" TargetMode="External"/><Relationship Id="rId250" Type="http://schemas.openxmlformats.org/officeDocument/2006/relationships/hyperlink" Target="https://www.eliteyachtingsolutions.com/contact-us/" TargetMode="External"/><Relationship Id="rId251" Type="http://schemas.openxmlformats.org/officeDocument/2006/relationships/hyperlink" Target="https://www.manta.com/c/m1xl2v5/s-a-marine-services-llc" TargetMode="External"/><Relationship Id="rId252" Type="http://schemas.openxmlformats.org/officeDocument/2006/relationships/hyperlink" Target="https://www.facebook.com/samarineservices/" TargetMode="External"/><Relationship Id="rId253" Type="http://schemas.openxmlformats.org/officeDocument/2006/relationships/hyperlink" Target="https://www.yelp.com/biz/s-a-marine-services-pompano-beach" TargetMode="External"/><Relationship Id="rId254" Type="http://schemas.openxmlformats.org/officeDocument/2006/relationships/hyperlink" Target="https://www.yelp.com/biz/s-a-marine-services-pompano-beach" TargetMode="External"/><Relationship Id="rId255" Type="http://schemas.openxmlformats.org/officeDocument/2006/relationships/hyperlink" Target="https://www.manta.com/c/mm7f0xx/all-power-marine-boat-lifts-docks" TargetMode="External"/><Relationship Id="rId256" Type="http://schemas.openxmlformats.org/officeDocument/2006/relationships/hyperlink" Target="https://www.yelp.com/biz/all-power-marine-boatlifts-and-docks-pompano-beach" TargetMode="External"/><Relationship Id="rId257" Type="http://schemas.openxmlformats.org/officeDocument/2006/relationships/hyperlink" Target="https://marineboatlifts.com/about/contact/" TargetMode="External"/><Relationship Id="rId258" Type="http://schemas.openxmlformats.org/officeDocument/2006/relationships/hyperlink" Target="https://www.manta.com/c/mr4tgvc/t-d-air-conditioning-inc" TargetMode="External"/><Relationship Id="rId259" Type="http://schemas.openxmlformats.org/officeDocument/2006/relationships/hyperlink" Target="https://www.instagram.com/tdairconditioning/" TargetMode="External"/><Relationship Id="rId260" Type="http://schemas.openxmlformats.org/officeDocument/2006/relationships/hyperlink" Target="https://www.yellowpages.com/davie-fl/mip/t-d-air-conditioning-inc-467300545" TargetMode="External"/><Relationship Id="rId261" Type="http://schemas.openxmlformats.org/officeDocument/2006/relationships/hyperlink" Target="https://www.manta.com/c/mhw02tp/cv-ac-expert-llc" TargetMode="External"/><Relationship Id="rId262" Type="http://schemas.openxmlformats.org/officeDocument/2006/relationships/hyperlink" Target="https://www.yelp.com/biz/cvac-expert-davie" TargetMode="External"/><Relationship Id="rId263" Type="http://schemas.openxmlformats.org/officeDocument/2006/relationships/hyperlink" Target="https://cvacexpert.com/contact-us/" TargetMode="External"/><Relationship Id="rId264" Type="http://schemas.openxmlformats.org/officeDocument/2006/relationships/hyperlink" Target="https://www.manta.com/c/mtq3wsd/ocean-freight-link" TargetMode="External"/><Relationship Id="rId265" Type="http://schemas.openxmlformats.org/officeDocument/2006/relationships/hyperlink" Target="https://www.manta.com/c/mtq3wsd/ocean-freight-link" TargetMode="External"/><Relationship Id="rId266" Type="http://schemas.openxmlformats.org/officeDocument/2006/relationships/hyperlink" Target="https://www.manta.com/c/mmfvqs5/promptus-llc" TargetMode="External"/><Relationship Id="rId267" Type="http://schemas.openxmlformats.org/officeDocument/2006/relationships/hyperlink" Target="https://www.facebook.com/Promptus.us/" TargetMode="External"/><Relationship Id="rId268" Type="http://schemas.openxmlformats.org/officeDocument/2006/relationships/hyperlink" Target="https://www.linkedin.com/company/promptus-llc" TargetMode="External"/><Relationship Id="rId269" Type="http://schemas.openxmlformats.org/officeDocument/2006/relationships/hyperlink" Target="https://www.yelp.com/biz/promptus-llc-miramar-8" TargetMode="External"/><Relationship Id="rId270" Type="http://schemas.openxmlformats.org/officeDocument/2006/relationships/hyperlink" Target="https://www.promptus.us/contact/" TargetMode="External"/><Relationship Id="rId271" Type="http://schemas.openxmlformats.org/officeDocument/2006/relationships/hyperlink" Target="https://www.manta.com/c/mtry58n/r-k-a-xpress-inc" TargetMode="External"/><Relationship Id="rId272" Type="http://schemas.openxmlformats.org/officeDocument/2006/relationships/hyperlink" Target="https://search.sunbiz.org/" TargetMode="External"/><Relationship Id="rId273" Type="http://schemas.openxmlformats.org/officeDocument/2006/relationships/hyperlink" Target="https://www.manta.com/c/mt4210t/j-j-freight-brokerage-inc" TargetMode="External"/><Relationship Id="rId274" Type="http://schemas.openxmlformats.org/officeDocument/2006/relationships/hyperlink" Target="https://www.manta.com/c/mm08mz3/markon-realty-and-management-inc" TargetMode="External"/><Relationship Id="rId275" Type="http://schemas.openxmlformats.org/officeDocument/2006/relationships/hyperlink" Target="https://www.linkedin.com/company/markon-realty-and-management-inc." TargetMode="External"/><Relationship Id="rId276" Type="http://schemas.openxmlformats.org/officeDocument/2006/relationships/hyperlink" Target="https://www.yelp.com/biz/markon-realty-and-management-fort-lauderdale" TargetMode="External"/><Relationship Id="rId277" Type="http://schemas.openxmlformats.org/officeDocument/2006/relationships/hyperlink" Target="https://www.merchantcircle.com/markon-realty-and-management1-fort-lauderdale-fl" TargetMode="External"/><Relationship Id="rId278" Type="http://schemas.openxmlformats.org/officeDocument/2006/relationships/hyperlink" Target="https://www.manta.com/c/mw2lslb/three-js-management-corporation" TargetMode="External"/><Relationship Id="rId279" Type="http://schemas.openxmlformats.org/officeDocument/2006/relationships/hyperlink" Target="https://www.yelp.com/biz/three-js-management-sunrise" TargetMode="External"/><Relationship Id="rId280" Type="http://schemas.openxmlformats.org/officeDocument/2006/relationships/hyperlink" Target="https://www.yellowpages.com/sunrise-fl/mip/three-js-management-corp-451116974" TargetMode="External"/><Relationship Id="rId281" Type="http://schemas.openxmlformats.org/officeDocument/2006/relationships/hyperlink" Target="https://www.manta.com/c/mhkhbr0/lindsay-taylor-property-management-inc" TargetMode="External"/><Relationship Id="rId282" Type="http://schemas.openxmlformats.org/officeDocument/2006/relationships/hyperlink" Target="https://www.facebook.com/p/Lindsay-Taylor-Property-Management-100047539872968/" TargetMode="External"/><Relationship Id="rId283" Type="http://schemas.openxmlformats.org/officeDocument/2006/relationships/hyperlink" Target="https://www.bbb.org/us/fl/sunrise/profile/property-management/lindsay-taylor-property-management-inc-0633-92032382" TargetMode="External"/><Relationship Id="rId284" Type="http://schemas.openxmlformats.org/officeDocument/2006/relationships/hyperlink" Target="https://www.manta.com/c/mbybsr5/ymp-real-estate-management-llc" TargetMode="External"/><Relationship Id="rId285" Type="http://schemas.openxmlformats.org/officeDocument/2006/relationships/hyperlink" Target="https://www.bbb.org/us/fl/lauderdale-lakes/profile/real-estate-investing/ymp-real-estate-management-llc-0633-90096264" TargetMode="External"/><Relationship Id="rId286" Type="http://schemas.openxmlformats.org/officeDocument/2006/relationships/hyperlink" Target="https://www.manta.com/c/mkxpthn/kryterion-property-services-llc" TargetMode="External"/><Relationship Id="rId287" Type="http://schemas.openxmlformats.org/officeDocument/2006/relationships/hyperlink" Target="https://www.buzzfile.com/business/Kryterion-Property-Services-LLC-954-789-0449" TargetMode="External"/><Relationship Id="rId288" Type="http://schemas.openxmlformats.org/officeDocument/2006/relationships/hyperlink" Target="https://www.manta.com/d/mm2thx3/lasseter-plumbing-company-inc" TargetMode="External"/><Relationship Id="rId289" Type="http://schemas.openxmlformats.org/officeDocument/2006/relationships/hyperlink" Target="https://www.facebook.com/p/Lasseter-Plumbing-Co-Inc-100069806585920/" TargetMode="External"/><Relationship Id="rId290" Type="http://schemas.openxmlformats.org/officeDocument/2006/relationships/hyperlink" Target="https://www.yelp.com/biz/lasseter-plumbing-north-miami" TargetMode="External"/><Relationship Id="rId291" Type="http://schemas.openxmlformats.org/officeDocument/2006/relationships/hyperlink" Target="https://www.yelp.com/biz/lasseter-plumbing-north-miami" TargetMode="External"/><Relationship Id="rId292" Type="http://schemas.openxmlformats.org/officeDocument/2006/relationships/hyperlink" Target="https://www.manta.com/c/mtbtgz9/rocco-plumbing-inc" TargetMode="External"/><Relationship Id="rId293" Type="http://schemas.openxmlformats.org/officeDocument/2006/relationships/hyperlink" Target="https://www.manta.com/c/mtbtgz9/rocco-plumbing-inc" TargetMode="External"/><Relationship Id="rId294" Type="http://schemas.openxmlformats.org/officeDocument/2006/relationships/hyperlink" Target="https://www.manta.com/c/mt4fd3r/malu-plumbing-inc" TargetMode="External"/><Relationship Id="rId295" Type="http://schemas.openxmlformats.org/officeDocument/2006/relationships/hyperlink" Target="https://www.yelp.com/biz/malu-plumbing-miami" TargetMode="External"/><Relationship Id="rId296" Type="http://schemas.openxmlformats.org/officeDocument/2006/relationships/hyperlink" Target="https://www.bbb.org/us/fl/miami-gardens/profile/plumbing-renovation/malu-plumbing-corp-0633-92034364" TargetMode="External"/><Relationship Id="rId297" Type="http://schemas.openxmlformats.org/officeDocument/2006/relationships/hyperlink" Target="https://www.manta.com/c/mb04c42/just-plumbing" TargetMode="External"/><Relationship Id="rId298" Type="http://schemas.openxmlformats.org/officeDocument/2006/relationships/hyperlink" Target="https://www.manta.com/c/mttg4zn/plumbing-experts" TargetMode="External"/><Relationship Id="rId299" Type="http://schemas.openxmlformats.org/officeDocument/2006/relationships/hyperlink" Target="https://www.facebook.com/plummmmbershere/" TargetMode="External"/><Relationship Id="rId300" Type="http://schemas.openxmlformats.org/officeDocument/2006/relationships/hyperlink" Target="https://m.yelp.com/biz/plumbing-experts-inc-north-miami-beach" TargetMode="External"/><Relationship Id="rId301" Type="http://schemas.openxmlformats.org/officeDocument/2006/relationships/hyperlink" Target="https://www.yellowpages.com/miami-fl/plumbing-experts-inc" TargetMode="External"/><Relationship Id="rId302" Type="http://schemas.openxmlformats.org/officeDocument/2006/relationships/hyperlink" Target="https://www.manta.com/c/mx0vyzw/new-england-plumbing" TargetMode="External"/><Relationship Id="rId303" Type="http://schemas.openxmlformats.org/officeDocument/2006/relationships/hyperlink" Target="https://www.facebook.com/MiamiPlumbers/" TargetMode="External"/><Relationship Id="rId304" Type="http://schemas.openxmlformats.org/officeDocument/2006/relationships/hyperlink" Target="https://www.yelp.com/biz/new-england-plumbing-miami" TargetMode="External"/><Relationship Id="rId305" Type="http://schemas.openxmlformats.org/officeDocument/2006/relationships/hyperlink" Target="https://www.chamberofcommerce.com/business-directory/florida/miami-shores/plumber/47118209-new-england-plumbing" TargetMode="External"/><Relationship Id="rId306" Type="http://schemas.openxmlformats.org/officeDocument/2006/relationships/hyperlink" Target="https://www.manta.com/c/mmdzv4c/martin-accounting-tax-service" TargetMode="External"/><Relationship Id="rId307" Type="http://schemas.openxmlformats.org/officeDocument/2006/relationships/hyperlink" Target="https://www.yelp.com/biz/martin-accounting-and-tax-service-hialeah" TargetMode="External"/><Relationship Id="rId308" Type="http://schemas.openxmlformats.org/officeDocument/2006/relationships/hyperlink" Target="https://www.yelp.com/biz/martin-accounting-and-tax-service-hialeah" TargetMode="External"/><Relationship Id="rId309" Type="http://schemas.openxmlformats.org/officeDocument/2006/relationships/hyperlink" Target="https://www.manta.com/c/mhbyhd2/zaidspiner-income-tax-service" TargetMode="External"/><Relationship Id="rId310" Type="http://schemas.openxmlformats.org/officeDocument/2006/relationships/hyperlink" Target="https://www.instagram.com/zaidspinerincometaxservices/" TargetMode="External"/><Relationship Id="rId311" Type="http://schemas.openxmlformats.org/officeDocument/2006/relationships/hyperlink" Target="https://www.manta.com/c/mmld75y/tax-recovery-services" TargetMode="External"/><Relationship Id="rId312" Type="http://schemas.openxmlformats.org/officeDocument/2006/relationships/hyperlink" Target="http://www.tax-recovery-services.com/contact.php" TargetMode="External"/><Relationship Id="rId313" Type="http://schemas.openxmlformats.org/officeDocument/2006/relationships/hyperlink" Target="https://www.yelp.com/biz/miami-income-tax-miami" TargetMode="External"/><Relationship Id="rId314" Type="http://schemas.openxmlformats.org/officeDocument/2006/relationships/hyperlink" Target="https://www.yelp.com/biz/miami-income-tax-miami" TargetMode="External"/><Relationship Id="rId315" Type="http://schemas.openxmlformats.org/officeDocument/2006/relationships/hyperlink" Target="https://www.yelp.com/biz/miami-income-tax-miami" TargetMode="External"/><Relationship Id="rId316" Type="http://schemas.openxmlformats.org/officeDocument/2006/relationships/hyperlink" Target="https://www.manta.com/c/mmfws9t/rivas-immigration-law" TargetMode="External"/><Relationship Id="rId317" Type="http://schemas.openxmlformats.org/officeDocument/2006/relationships/hyperlink" Target="https://www.manta.com/c/mmfws9t/rivas-immigration-law" TargetMode="External"/><Relationship Id="rId318" Type="http://schemas.openxmlformats.org/officeDocument/2006/relationships/hyperlink" Target="https://www.manta.com/c/mr0zgqq/felix-pardo-architect-inc" TargetMode="External"/><Relationship Id="rId319" Type="http://schemas.openxmlformats.org/officeDocument/2006/relationships/hyperlink" Target="https://www.yelp.com/biz/felix-pardo-coral-gables" TargetMode="External"/><Relationship Id="rId320" Type="http://schemas.openxmlformats.org/officeDocument/2006/relationships/hyperlink" Target="https://www.yelp.com/biz/felix-pardo-coral-gables" TargetMode="External"/><Relationship Id="rId321" Type="http://schemas.openxmlformats.org/officeDocument/2006/relationships/hyperlink" Target="https://www.manta.com/c/mmnsjmj/forbes-architects" TargetMode="External"/><Relationship Id="rId322" Type="http://schemas.openxmlformats.org/officeDocument/2006/relationships/hyperlink" Target="https://www.instagram.com/forbesmiami/" TargetMode="External"/><Relationship Id="rId323" Type="http://schemas.openxmlformats.org/officeDocument/2006/relationships/hyperlink" Target="https://www.linkedin.com/company/forbes-architects" TargetMode="External"/><Relationship Id="rId324" Type="http://schemas.openxmlformats.org/officeDocument/2006/relationships/hyperlink" Target="https://www.yelp.com/biz/forbes-architects-coral-gables" TargetMode="External"/><Relationship Id="rId325" Type="http://schemas.openxmlformats.org/officeDocument/2006/relationships/hyperlink" Target="https://www.manta.com/c/mk2fx4l/a-d-animal-hospital-inc" TargetMode="External"/><Relationship Id="rId326" Type="http://schemas.openxmlformats.org/officeDocument/2006/relationships/hyperlink" Target="https://www.facebook.com/adanimalhospital/" TargetMode="External"/><Relationship Id="rId327" Type="http://schemas.openxmlformats.org/officeDocument/2006/relationships/hyperlink" Target="https://www.instagram.com/adanimalhospital/" TargetMode="External"/><Relationship Id="rId328" Type="http://schemas.openxmlformats.org/officeDocument/2006/relationships/hyperlink" Target="https://www.yelp.com/biz/twins-animal-hospital-hialeah" TargetMode="External"/><Relationship Id="rId329" Type="http://schemas.openxmlformats.org/officeDocument/2006/relationships/hyperlink" Target="https://www.manta.com/c/mtm56cl/farley-veterinary-clinic" TargetMode="External"/><Relationship Id="rId330" Type="http://schemas.openxmlformats.org/officeDocument/2006/relationships/hyperlink" Target="https://www.yelp.com/biz/farley-veterinary-clinic-hollywood" TargetMode="External"/><Relationship Id="rId331" Type="http://schemas.openxmlformats.org/officeDocument/2006/relationships/hyperlink" Target="https://www.yelp.com/biz/farley-veterinary-clinic-hollywood" TargetMode="External"/><Relationship Id="rId332" Type="http://schemas.openxmlformats.org/officeDocument/2006/relationships/hyperlink" Target="https://www.manta.com/c/mtv988s/montero-dental-center" TargetMode="External"/><Relationship Id="rId333" Type="http://schemas.openxmlformats.org/officeDocument/2006/relationships/hyperlink" Target="https://www.yelp.com/biz/montero-dental-center-hialeah" TargetMode="External"/><Relationship Id="rId334" Type="http://schemas.openxmlformats.org/officeDocument/2006/relationships/hyperlink" Target="https://www.yelp.com/biz/montero-dental-center-hialeah" TargetMode="External"/><Relationship Id="rId335" Type="http://schemas.openxmlformats.org/officeDocument/2006/relationships/hyperlink" Target="https://www.manta.com/c/mm5yfxm/jose-m-del-valle-dds-pa" TargetMode="External"/><Relationship Id="rId336" Type="http://schemas.openxmlformats.org/officeDocument/2006/relationships/hyperlink" Target="https://www.yelp.com/biz/del-valle-jose-m-dds-pa-hialeah" TargetMode="External"/><Relationship Id="rId337" Type="http://schemas.openxmlformats.org/officeDocument/2006/relationships/hyperlink" Target="https://www.yelp.com/biz/del-valle-jose-m-dds-pa-hialeah" TargetMode="External"/><Relationship Id="rId338" Type="http://schemas.openxmlformats.org/officeDocument/2006/relationships/hyperlink" Target="https://www.manta.com/c/mb5r01b/aventura-dental-arts" TargetMode="External"/><Relationship Id="rId339" Type="http://schemas.openxmlformats.org/officeDocument/2006/relationships/hyperlink" Target="https://www.facebook.com/aventuradentalarts/" TargetMode="External"/><Relationship Id="rId340" Type="http://schemas.openxmlformats.org/officeDocument/2006/relationships/hyperlink" Target="https://www.instagram.com/aventuradentalarts/" TargetMode="External"/><Relationship Id="rId341" Type="http://schemas.openxmlformats.org/officeDocument/2006/relationships/hyperlink" Target="https://www.yelp.com/biz/aventura-dental-arts-miami-2" TargetMode="External"/><Relationship Id="rId342" Type="http://schemas.openxmlformats.org/officeDocument/2006/relationships/hyperlink" Target="https://www.manta.com/c/mhwzp1k/felix-varela-medical-clinic-inc" TargetMode="External"/><Relationship Id="rId343" Type="http://schemas.openxmlformats.org/officeDocument/2006/relationships/hyperlink" Target="https://www.manta.com/c/mr07gcv/als-medical-group" TargetMode="External"/><Relationship Id="rId344" Type="http://schemas.openxmlformats.org/officeDocument/2006/relationships/hyperlink" Target="https://www.facebook.com/p/ALS-Medical-Group-100070481402996/" TargetMode="External"/><Relationship Id="rId345" Type="http://schemas.openxmlformats.org/officeDocument/2006/relationships/hyperlink" Target="https://www.instagram.com/alsmedicalgroup/" TargetMode="External"/><Relationship Id="rId346" Type="http://schemas.openxmlformats.org/officeDocument/2006/relationships/hyperlink" Target="https://www.manta.com/c/mmnycd5/orthopedic-rehabilitation-specialists-inc" TargetMode="External"/><Relationship Id="rId347" Type="http://schemas.openxmlformats.org/officeDocument/2006/relationships/hyperlink" Target="https://www.linkedin.com/company/orthopedic-rehabilitation-specialists-inc." TargetMode="External"/><Relationship Id="rId348" Type="http://schemas.openxmlformats.org/officeDocument/2006/relationships/hyperlink" Target="https://www.yelp.com/biz/orthopedic-rehabilitation-specialists-miami" TargetMode="External"/><Relationship Id="rId349" Type="http://schemas.openxmlformats.org/officeDocument/2006/relationships/hyperlink" Target="https://www.yellowpages.com/plantation-fl/mip/plantation-chiropractic-center-inc-467764478" TargetMode="External"/><Relationship Id="rId350" Type="http://schemas.openxmlformats.org/officeDocument/2006/relationships/hyperlink" Target="https://www.facebook.com/p/Plantation-Chiropractic-100063776342532/" TargetMode="External"/><Relationship Id="rId351" Type="http://schemas.openxmlformats.org/officeDocument/2006/relationships/hyperlink" Target="https://www.yelp.com/biz/trachtenberg-lee-dc-plantation-2" TargetMode="External"/><Relationship Id="rId352" Type="http://schemas.openxmlformats.org/officeDocument/2006/relationships/hyperlink" Target="https://www.yellowpages.com/plantation-fl/mip/plantation-chiropractic-center-inc-467764478" TargetMode="External"/><Relationship Id="rId353" Type="http://schemas.openxmlformats.org/officeDocument/2006/relationships/hyperlink" Target="https://www.manta.com/c/mm0fbmw/miami-beach-chiropractic-rehabilitation-center-pa" TargetMode="External"/><Relationship Id="rId354" Type="http://schemas.openxmlformats.org/officeDocument/2006/relationships/hyperlink" Target="https://www.facebook.com/MiamiBeachChiropractic/" TargetMode="External"/><Relationship Id="rId355" Type="http://schemas.openxmlformats.org/officeDocument/2006/relationships/hyperlink" Target="https://www.yelp.com/biz/miami-beach-chiropractic-and-rehabilitation-ctr-pa-miami" TargetMode="External"/><Relationship Id="rId356" Type="http://schemas.openxmlformats.org/officeDocument/2006/relationships/hyperlink" Target="https://www.yelp.com/biz/miami-beach-chiropractic-and-rehabilitation-ctr-pa-miami" TargetMode="External"/><Relationship Id="rId357" Type="http://schemas.openxmlformats.org/officeDocument/2006/relationships/hyperlink" Target="https://www.manta.com/c/mtr6dz3/rubio-pharmacy-and-discount-inc" TargetMode="External"/><Relationship Id="rId358" Type="http://schemas.openxmlformats.org/officeDocument/2006/relationships/hyperlink" Target="https://www.facebook.com/RubioPharmacy/" TargetMode="External"/><Relationship Id="rId359" Type="http://schemas.openxmlformats.org/officeDocument/2006/relationships/hyperlink" Target="https://www.yelp.com/biz/rubio-pharmacy-and-discount-hialeah" TargetMode="External"/><Relationship Id="rId360" Type="http://schemas.openxmlformats.org/officeDocument/2006/relationships/hyperlink" Target="https://www.yelp.com/biz/rubio-pharmacy-and-discount-hialeah" TargetMode="External"/><Relationship Id="rId361" Type="http://schemas.openxmlformats.org/officeDocument/2006/relationships/hyperlink" Target="https://www.manta.com/c/mttcj9f/tropical-pharmacy-inc" TargetMode="External"/><Relationship Id="rId362" Type="http://schemas.openxmlformats.org/officeDocument/2006/relationships/hyperlink" Target="https://www.yelp.com/biz/tropical-pharmacy-plantation-2" TargetMode="External"/><Relationship Id="rId363" Type="http://schemas.openxmlformats.org/officeDocument/2006/relationships/hyperlink" Target="https://www.yelp.com/biz/tropical-pharmacy-plantation-2" TargetMode="External"/><Relationship Id="rId364" Type="http://schemas.openxmlformats.org/officeDocument/2006/relationships/hyperlink" Target="https://www.manta.com/c/mm890c8/excellent-pharmacy-discount" TargetMode="External"/><Relationship Id="rId365" Type="http://schemas.openxmlformats.org/officeDocument/2006/relationships/hyperlink" Target="https://www.manta.com/c/mm890c8/excellent-pharmacy-discount" TargetMode="External"/><Relationship Id="rId366" Type="http://schemas.openxmlformats.org/officeDocument/2006/relationships/hyperlink" Target="https://www.manta.com/c/mmnct5k/frases-frases-insurance-agency" TargetMode="External"/><Relationship Id="rId367" Type="http://schemas.openxmlformats.org/officeDocument/2006/relationships/hyperlink" Target="https://www.yelp.com/biz/frases-and-frases-insurance-agency-hialeah" TargetMode="External"/><Relationship Id="rId368" Type="http://schemas.openxmlformats.org/officeDocument/2006/relationships/hyperlink" Target="https://www.yelp.com/biz/frases-and-frases-insurance-agency-hialeah" TargetMode="External"/><Relationship Id="rId369" Type="http://schemas.openxmlformats.org/officeDocument/2006/relationships/hyperlink" Target="https://www.manta.com/c/mm4mtnd/a-g-insurance" TargetMode="External"/><Relationship Id="rId370" Type="http://schemas.openxmlformats.org/officeDocument/2006/relationships/hyperlink" Target="https://www.yelp.com/biz/a-and-g-insurance-hialeah" TargetMode="External"/><Relationship Id="rId371" Type="http://schemas.openxmlformats.org/officeDocument/2006/relationships/hyperlink" Target="https://www.manta.com/c/mm4mtnd/a-g-insurance" TargetMode="External"/><Relationship Id="rId372" Type="http://schemas.openxmlformats.org/officeDocument/2006/relationships/hyperlink" Target="https://www.bbb.org/us/fl/hialeah/profile/insurance-agency/continental-insurance-office-0633-92071289" TargetMode="External"/><Relationship Id="rId373" Type="http://schemas.openxmlformats.org/officeDocument/2006/relationships/hyperlink" Target="https://www.bbb.org/us/fl/hialeah/profile/insurance-agency/continental-insurance-office-0633-92071289" TargetMode="External"/><Relationship Id="rId374" Type="http://schemas.openxmlformats.org/officeDocument/2006/relationships/hyperlink" Target="https://www.bbb.org/us/fl/hialeah/profile/insurance-agency/opportunity-insurance-inc-0633-90612037" TargetMode="External"/><Relationship Id="rId375" Type="http://schemas.openxmlformats.org/officeDocument/2006/relationships/hyperlink" Target="https://www.instagram.com/opportunityinsurance/" TargetMode="External"/><Relationship Id="rId376" Type="http://schemas.openxmlformats.org/officeDocument/2006/relationships/hyperlink" Target="https://www.yelp.com/biz/opportunity-insurance-hialeah" TargetMode="External"/><Relationship Id="rId377" Type="http://schemas.openxmlformats.org/officeDocument/2006/relationships/hyperlink" Target="https://www.manta.com/c/mm8c01j/ramallo-insurance-inc" TargetMode="External"/><Relationship Id="rId378" Type="http://schemas.openxmlformats.org/officeDocument/2006/relationships/hyperlink" Target="https://www.yelp.com/biz/ramallo-assurance-inc-miami-2" TargetMode="External"/><Relationship Id="rId379" Type="http://schemas.openxmlformats.org/officeDocument/2006/relationships/hyperlink" Target="https://www.manta.com/c/mm8c01j/ramallo-insurance-inc" TargetMode="External"/><Relationship Id="rId380" Type="http://schemas.openxmlformats.org/officeDocument/2006/relationships/hyperlink" Target="https://www.manta.com/c/mhh0xzb/targa-insurance-inc" TargetMode="External"/><Relationship Id="rId381" Type="http://schemas.openxmlformats.org/officeDocument/2006/relationships/hyperlink" Target="https://www.yelp.com/biz/targa-insurance-fort-lauderdale" TargetMode="External"/><Relationship Id="rId382" Type="http://schemas.openxmlformats.org/officeDocument/2006/relationships/hyperlink" Target="https://www.yelp.com/biz/targa-insurance-fort-lauderdale" TargetMode="External"/><Relationship Id="rId383" Type="http://schemas.openxmlformats.org/officeDocument/2006/relationships/hyperlink" Target="https://www.manta.com/c/mtrvtd1/florida-insurance-plus" TargetMode="External"/><Relationship Id="rId384" Type="http://schemas.openxmlformats.org/officeDocument/2006/relationships/hyperlink" Target="https://www.facebook.com/100070735132722/" TargetMode="External"/><Relationship Id="rId385" Type="http://schemas.openxmlformats.org/officeDocument/2006/relationships/hyperlink" Target="https://www.yelp.com/biz/florida-insurance-and-plus-hollywood" TargetMode="External"/><Relationship Id="rId386" Type="http://schemas.openxmlformats.org/officeDocument/2006/relationships/hyperlink" Target="https://www.yelp.com/biz/florida-insurance-and-plus-hollywood" TargetMode="External"/><Relationship Id="rId387" Type="http://schemas.openxmlformats.org/officeDocument/2006/relationships/hyperlink" Target="https://www.bbb.org/us/fl/miami-beach/profile/insurance-services-office/allstar-insurance-services-inc-0633-27003053" TargetMode="External"/><Relationship Id="rId388" Type="http://schemas.openxmlformats.org/officeDocument/2006/relationships/hyperlink" Target="https://www.facebook.com/chooseallstar/" TargetMode="External"/><Relationship Id="rId389" Type="http://schemas.openxmlformats.org/officeDocument/2006/relationships/hyperlink" Target="https://www.yelp.com/biz/allstar-insurance-services-north-bay-village" TargetMode="External"/><Relationship Id="rId390" Type="http://schemas.openxmlformats.org/officeDocument/2006/relationships/hyperlink" Target="https://www.bbb.org/us/fl/miami-beach/profile/insurance-services-office/allstar-insurance-services-inc-0633-27003053" TargetMode="External"/><Relationship Id="rId391" Type="http://schemas.openxmlformats.org/officeDocument/2006/relationships/hyperlink" Target="https://www.manta.com/c/mr0113x/continental-trust-mortgage" TargetMode="External"/><Relationship Id="rId392" Type="http://schemas.openxmlformats.org/officeDocument/2006/relationships/hyperlink" Target="https://www.yelp.com/biz/continental-trust-mortgage-miami-2" TargetMode="External"/><Relationship Id="rId393" Type="http://schemas.openxmlformats.org/officeDocument/2006/relationships/hyperlink" Target="https://www.manta.com/c/mr0113x/continental-trust-mortgage" TargetMode="External"/><Relationship Id="rId394" Type="http://schemas.openxmlformats.org/officeDocument/2006/relationships/hyperlink" Target="https://www.manta.com/c/mmb664t/mortgage-funding-group-inc" TargetMode="External"/><Relationship Id="rId395" Type="http://schemas.openxmlformats.org/officeDocument/2006/relationships/hyperlink" Target="https://www.yelp.com/biz/mortgage-funding-group-plantation" TargetMode="External"/><Relationship Id="rId396" Type="http://schemas.openxmlformats.org/officeDocument/2006/relationships/hyperlink" Target="https://www.manta.com/c/mmpy8rx/envios-22-24" TargetMode="External"/><Relationship Id="rId397" Type="http://schemas.openxmlformats.org/officeDocument/2006/relationships/hyperlink" Target="https://www.linkedin.com/company/envios-22-24-inc" TargetMode="External"/><Relationship Id="rId398" Type="http://schemas.openxmlformats.org/officeDocument/2006/relationships/hyperlink" Target="https://www.yelp.com/biz/envios-2224-hialeah" TargetMode="External"/><Relationship Id="rId399" Type="http://schemas.openxmlformats.org/officeDocument/2006/relationships/hyperlink" Target="https://www.yelp.com/biz/envios-2224-hialeah" TargetMode="External"/><Relationship Id="rId400" Type="http://schemas.openxmlformats.org/officeDocument/2006/relationships/hyperlink" Target="https://www.yelp.com/biz/el-yoyito-restaurant-y-cafeteria-hialeah" TargetMode="External"/><Relationship Id="rId401" Type="http://schemas.openxmlformats.org/officeDocument/2006/relationships/hyperlink" Target="http://m.facebook.com/profile.php?id=127183447924452" TargetMode="External"/><Relationship Id="rId402" Type="http://schemas.openxmlformats.org/officeDocument/2006/relationships/hyperlink" Target="https://www.yelp.com/biz/el-yoyito-restaurant-y-cafeteria-hialeah" TargetMode="External"/><Relationship Id="rId403" Type="http://schemas.openxmlformats.org/officeDocument/2006/relationships/hyperlink" Target="https://www.miaminewtimes.com/location/el-yoyito-restaurant-y-cafe-6421187/" TargetMode="External"/><Relationship Id="rId404" Type="http://schemas.openxmlformats.org/officeDocument/2006/relationships/hyperlink" Target="https://www.yellowpages.com/hialeah-fl/mip/2000-cafe-inc-462536135" TargetMode="External"/><Relationship Id="rId405" Type="http://schemas.openxmlformats.org/officeDocument/2006/relationships/hyperlink" Target="https://www.yelp.com/biz/2000-cafe-hialeah" TargetMode="External"/><Relationship Id="rId406" Type="http://schemas.openxmlformats.org/officeDocument/2006/relationships/hyperlink" Target="https://www.yellowpages.com/hialeah-fl/mip/2000-cafe-inc-462536135" TargetMode="External"/><Relationship Id="rId407" Type="http://schemas.openxmlformats.org/officeDocument/2006/relationships/hyperlink" Target="https://www.yelp.com/biz/latin-cafe-2000-hialeah" TargetMode="External"/><Relationship Id="rId408" Type="http://schemas.openxmlformats.org/officeDocument/2006/relationships/hyperlink" Target="https://www.yelp.com/biz/latin-cafe-2000-hialeah" TargetMode="External"/><Relationship Id="rId409" Type="http://schemas.openxmlformats.org/officeDocument/2006/relationships/hyperlink" Target="https://www.yelp.com/biz/latin-cafe-2000-hialeah" TargetMode="External"/><Relationship Id="rId410" Type="http://schemas.openxmlformats.org/officeDocument/2006/relationships/hyperlink" Target="https://www.yelp.com/biz/the-original-cuban-barbershop-miami-3" TargetMode="External"/><Relationship Id="rId411" Type="http://schemas.openxmlformats.org/officeDocument/2006/relationships/hyperlink" Target="https://www.yelp.com/biz/the-original-cuban-barbershop-miami-3" TargetMode="External"/><Relationship Id="rId412" Type="http://schemas.openxmlformats.org/officeDocument/2006/relationships/hyperlink" Target="https://booksy.com/en-us/1064288_la-barberia-the-original-cuban-barbershop_barber-shop_15889_miami" TargetMode="External"/><Relationship Id="rId413" Type="http://schemas.openxmlformats.org/officeDocument/2006/relationships/hyperlink" Target="https://calleochonews.com/homerun-barbershop-in-little-havana-is-a-grand-slam/" TargetMode="External"/><Relationship Id="rId414" Type="http://schemas.openxmlformats.org/officeDocument/2006/relationships/hyperlink" Target="https://www.yelp.com/biz/homerun-barbershop-miami" TargetMode="External"/><Relationship Id="rId415" Type="http://schemas.openxmlformats.org/officeDocument/2006/relationships/hyperlink" Target="https://www.yelp.com/biz/homerun-barbershop-miami" TargetMode="External"/><Relationship Id="rId416" Type="http://schemas.openxmlformats.org/officeDocument/2006/relationships/hyperlink" Target="https://www.yelp.com/biz/joes-barber-shop-hialeah" TargetMode="External"/><Relationship Id="rId417" Type="http://schemas.openxmlformats.org/officeDocument/2006/relationships/hyperlink" Target="https://www.yelp.com/biz/joes-barber-shop-hialeah" TargetMode="External"/><Relationship Id="rId418" Type="http://schemas.openxmlformats.org/officeDocument/2006/relationships/hyperlink" Target="https://www.yellowpages.com/hialeah-fl/mip/joes-barber-shop-16413541" TargetMode="External"/><Relationship Id="rId419" Type="http://schemas.openxmlformats.org/officeDocument/2006/relationships/hyperlink" Target="https://www.yelp.com/biz/rbtt-boxing-gym-hialeah" TargetMode="External"/><Relationship Id="rId420" Type="http://schemas.openxmlformats.org/officeDocument/2006/relationships/hyperlink" Target="https://www.yelp.com/biz/rbtt-boxing-gym-hialeah" TargetMode="External"/><Relationship Id="rId421" Type="http://schemas.openxmlformats.org/officeDocument/2006/relationships/hyperlink" Target="https://local.yahoo.com/info-236448236-rbtt-boxing-gym-hialeah/" TargetMode="External"/><Relationship Id="rId422" Type="http://schemas.openxmlformats.org/officeDocument/2006/relationships/hyperlink" Target="https://www.yelp.com/biz/kangaroo-boxing-gym-hialeah-gardens" TargetMode="External"/><Relationship Id="rId423" Type="http://schemas.openxmlformats.org/officeDocument/2006/relationships/hyperlink" Target="https://www.instagram.com/kangarooboxinggym/" TargetMode="External"/><Relationship Id="rId424" Type="http://schemas.openxmlformats.org/officeDocument/2006/relationships/hyperlink" Target="https://www.yelp.com/biz/kangaroo-boxing-gym-hialeah-gardens" TargetMode="External"/><Relationship Id="rId425" Type="http://schemas.openxmlformats.org/officeDocument/2006/relationships/hyperlink" Target="https://local.yahoo.com/info-233970697-kangaroo-boxing-gym-hialeah-gardens/" TargetMode="External"/><Relationship Id="rId426" Type="http://schemas.openxmlformats.org/officeDocument/2006/relationships/hyperlink" Target="https://www.yelp.com/biz/the-magic-dance-academy-hialeah" TargetMode="External"/><Relationship Id="rId427" Type="http://schemas.openxmlformats.org/officeDocument/2006/relationships/hyperlink" Target="https://www.facebook.com/themagicdancestudio/" TargetMode="External"/><Relationship Id="rId428" Type="http://schemas.openxmlformats.org/officeDocument/2006/relationships/hyperlink" Target="https://www.yelp.com/biz/the-magic-dance-academy-hialeah" TargetMode="External"/><Relationship Id="rId429" Type="http://schemas.openxmlformats.org/officeDocument/2006/relationships/hyperlink" Target="https://www.yellowpages.com/hialeah-fl/mip/the-magic-dance-studio-academy-519255494" TargetMode="External"/><Relationship Id="rId430" Type="http://schemas.openxmlformats.org/officeDocument/2006/relationships/hyperlink" Target="https://www.sportanddanceacademy.com/contact" TargetMode="External"/><Relationship Id="rId431" Type="http://schemas.openxmlformats.org/officeDocument/2006/relationships/hyperlink" Target="https://www.facebook.com/sportanddanceacademy/" TargetMode="External"/><Relationship Id="rId432" Type="http://schemas.openxmlformats.org/officeDocument/2006/relationships/hyperlink" Target="https://www.yelp.com/biz/sport-and-dance-academy-hialeah" TargetMode="External"/><Relationship Id="rId433" Type="http://schemas.openxmlformats.org/officeDocument/2006/relationships/hyperlink" Target="https://www.sportanddanceacademy.com/contact" TargetMode="External"/><Relationship Id="rId434" Type="http://schemas.openxmlformats.org/officeDocument/2006/relationships/hyperlink" Target="https://www.yellowpages.com/doral-fl/mip/cleaners-at-doral-13465665" TargetMode="External"/><Relationship Id="rId435" Type="http://schemas.openxmlformats.org/officeDocument/2006/relationships/hyperlink" Target="https://www.yelp.com/biz/dinas-cleaners-doral" TargetMode="External"/><Relationship Id="rId436" Type="http://schemas.openxmlformats.org/officeDocument/2006/relationships/hyperlink" Target="https://www.yellowpages.com/doral-fl/mip/cleaners-at-doral-13465665" TargetMode="External"/><Relationship Id="rId437" Type="http://schemas.openxmlformats.org/officeDocument/2006/relationships/hyperlink" Target="https://www.yelp.com/biz/doral-bakery-and-cafeteria-doral" TargetMode="External"/><Relationship Id="rId438" Type="http://schemas.openxmlformats.org/officeDocument/2006/relationships/hyperlink" Target="https://www.yelp.com/biz/doral-bakery-and-cafeteria-doral" TargetMode="External"/><Relationship Id="rId439" Type="http://schemas.openxmlformats.org/officeDocument/2006/relationships/hyperlink" Target="https://local.yahoo.com/info-88725828-doral-bakery-cafeteria-doral/" TargetMode="External"/><Relationship Id="rId440" Type="http://schemas.openxmlformats.org/officeDocument/2006/relationships/hyperlink" Target="https://www.yelp.com/biz/kendalls-bakery-restaurant-miami" TargetMode="External"/><Relationship Id="rId441" Type="http://schemas.openxmlformats.org/officeDocument/2006/relationships/hyperlink" Target="https://www.yelp.com/biz/kendalls-bakery-restaurant-miami" TargetMode="External"/><Relationship Id="rId442" Type="http://schemas.openxmlformats.org/officeDocument/2006/relationships/hyperlink" Target="https://local.yahoo.com/info-192956246-kendall-s-bakery-restaurant-miami/" TargetMode="External"/><Relationship Id="rId443" Type="http://schemas.openxmlformats.org/officeDocument/2006/relationships/hyperlink" Target="https://www.yelp.com/biz/a-labor-of-love-dog-grooming-salon-miami-3" TargetMode="External"/><Relationship Id="rId444" Type="http://schemas.openxmlformats.org/officeDocument/2006/relationships/hyperlink" Target="https://www.facebook.com/alaboroflovedoggrooming/" TargetMode="External"/><Relationship Id="rId445" Type="http://schemas.openxmlformats.org/officeDocument/2006/relationships/hyperlink" Target="https://www.yelp.com/biz/a-labor-of-love-dog-grooming-salon-miami-3" TargetMode="External"/><Relationship Id="rId446" Type="http://schemas.openxmlformats.org/officeDocument/2006/relationships/hyperlink" Target="https://www.yelp.com/biz/a-labor-of-love-dog-grooming-salon-miami-3" TargetMode="External"/><Relationship Id="rId447" Type="http://schemas.openxmlformats.org/officeDocument/2006/relationships/hyperlink" Target="https://www.yelp.com/biz/magique-hair-salon-aventura" TargetMode="External"/><Relationship Id="rId448" Type="http://schemas.openxmlformats.org/officeDocument/2006/relationships/hyperlink" Target="https://www.facebook.com/magiqueaventura/" TargetMode="External"/><Relationship Id="rId449" Type="http://schemas.openxmlformats.org/officeDocument/2006/relationships/hyperlink" Target="https://www.instagram.com/magique.hairsalon/" TargetMode="External"/><Relationship Id="rId450" Type="http://schemas.openxmlformats.org/officeDocument/2006/relationships/hyperlink" Target="https://www.yelp.com/biz/magique-hair-salon-aventura" TargetMode="External"/><Relationship Id="rId451" Type="http://schemas.openxmlformats.org/officeDocument/2006/relationships/hyperlink" Target="https://www.yelp.com/biz/magique-hair-salon-aventura" TargetMode="External"/><Relationship Id="rId452" Type="http://schemas.openxmlformats.org/officeDocument/2006/relationships/hyperlink" Target="https://lesteticasalon.com/contact-us/" TargetMode="External"/><Relationship Id="rId453" Type="http://schemas.openxmlformats.org/officeDocument/2006/relationships/hyperlink" Target="https://www.facebook.com/lesteticasalonmia" TargetMode="External"/><Relationship Id="rId454" Type="http://schemas.openxmlformats.org/officeDocument/2006/relationships/hyperlink" Target="https://www.yelp.com/biz/l-estetica-salon-aventura" TargetMode="External"/><Relationship Id="rId455" Type="http://schemas.openxmlformats.org/officeDocument/2006/relationships/hyperlink" Target="https://lesteticasalon.com/contact-us/" TargetMode="External"/><Relationship Id="rId456" Type="http://schemas.openxmlformats.org/officeDocument/2006/relationships/hyperlink" Target="https://www.yelp.com/biz/l-auberge-haitian-restaurant-north-miami" TargetMode="External"/><Relationship Id="rId457" Type="http://schemas.openxmlformats.org/officeDocument/2006/relationships/hyperlink" Target="https://www.yelp.com/biz/l-auberge-haitian-restaurant-north-miami" TargetMode="External"/><Relationship Id="rId458" Type="http://schemas.openxmlformats.org/officeDocument/2006/relationships/hyperlink" Target="https://www.theinfatuation.com/miami/reviews/lauberge-restaurant" TargetMode="External"/><Relationship Id="rId459" Type="http://schemas.openxmlformats.org/officeDocument/2006/relationships/hyperlink" Target="https://www.miaminewtimes.com/location/chez-madame-johns-restaurant-6411679" TargetMode="External"/><Relationship Id="rId460" Type="http://schemas.openxmlformats.org/officeDocument/2006/relationships/hyperlink" Target="https://www.yelp.com/biz/chez-madame-johns-restaurant-north-miami" TargetMode="External"/><Relationship Id="rId461" Type="http://schemas.openxmlformats.org/officeDocument/2006/relationships/hyperlink" Target="https://www.tripadvisor.com/Restaurant_Review-g34485-d4632141-Reviews-Chez_Madame_Johns_Restaurant-North_Miami_Florida.html" TargetMode="External"/><Relationship Id="rId462" Type="http://schemas.openxmlformats.org/officeDocument/2006/relationships/hyperlink" Target="https://www.yelp.com/biz/el-bajareque-restaurant-miami" TargetMode="External"/><Relationship Id="rId463" Type="http://schemas.openxmlformats.org/officeDocument/2006/relationships/hyperlink" Target="https://www.instagram.com/elbajareque/" TargetMode="External"/><Relationship Id="rId464" Type="http://schemas.openxmlformats.org/officeDocument/2006/relationships/hyperlink" Target="https://www.yelp.com/biz/el-bajareque-restaurant-miami" TargetMode="External"/><Relationship Id="rId465" Type="http://schemas.openxmlformats.org/officeDocument/2006/relationships/hyperlink" Target="https://elbajarequerestaurant.com/contact-us" TargetMode="External"/><Relationship Id="rId466" Type="http://schemas.openxmlformats.org/officeDocument/2006/relationships/hyperlink" Target="https://www.yelp.com/biz/wynwood-car-wash-miami" TargetMode="External"/><Relationship Id="rId467" Type="http://schemas.openxmlformats.org/officeDocument/2006/relationships/hyperlink" Target="https://www.yelp.com/biz/wynwood-car-wash-miami" TargetMode="External"/><Relationship Id="rId468" Type="http://schemas.openxmlformats.org/officeDocument/2006/relationships/hyperlink" Target="https://local.yahoo.com/info-127474321-wynwood-car-wash-miami/" TargetMode="External"/><Relationship Id="rId469" Type="http://schemas.openxmlformats.org/officeDocument/2006/relationships/hyperlink" Target="https://www.yelp.com/biz/normans-tavern-miami-beach-4" TargetMode="External"/><Relationship Id="rId470" Type="http://schemas.openxmlformats.org/officeDocument/2006/relationships/hyperlink" Target="https://www.yelp.com/biz/normans-tavern-miami-beach-4" TargetMode="External"/><Relationship Id="rId471" Type="http://schemas.openxmlformats.org/officeDocument/2006/relationships/hyperlink" Target="https://www.yelp.com/biz/normans-tavern-miami-beach-4" TargetMode="External"/><Relationship Id="rId472" Type="http://schemas.openxmlformats.org/officeDocument/2006/relationships/hyperlink" Target="https://www.yelp.com/biz/puerto-sagua-restaurant-miami-beach" TargetMode="External"/><Relationship Id="rId473" Type="http://schemas.openxmlformats.org/officeDocument/2006/relationships/hyperlink" Target="https://www.yelp.com/biz/puerto-sagua-restaurant-miami-beach" TargetMode="External"/><Relationship Id="rId474" Type="http://schemas.openxmlformats.org/officeDocument/2006/relationships/hyperlink" Target="https://puertosagua.org/locations.html" TargetMode="External"/><Relationship Id="rId475" Type="http://schemas.openxmlformats.org/officeDocument/2006/relationships/hyperlink" Target="https://www.yelp.com/biz/best-dry-cleaners-and-shoe-repair-miami-beach" TargetMode="External"/><Relationship Id="rId476" Type="http://schemas.openxmlformats.org/officeDocument/2006/relationships/hyperlink" Target="https://www.facebook.com/bestcleanersshoerepair/" TargetMode="External"/><Relationship Id="rId477" Type="http://schemas.openxmlformats.org/officeDocument/2006/relationships/hyperlink" Target="https://www.yelp.com/biz/best-dry-cleaners-and-shoe-repair-miami-beach" TargetMode="External"/><Relationship Id="rId478" Type="http://schemas.openxmlformats.org/officeDocument/2006/relationships/hyperlink" Target="https://www.yellowpages.com/miami-beach-fl/mip/best-dry-cleaners-shoe-repair-10199777" TargetMode="External"/><Relationship Id="rId479" Type="http://schemas.openxmlformats.org/officeDocument/2006/relationships/hyperlink" Target="https://www.yelp.com/biz/marks-quality-cleaners-miami-beach-2" TargetMode="External"/><Relationship Id="rId480" Type="http://schemas.openxmlformats.org/officeDocument/2006/relationships/hyperlink" Target="https://www.facebook.com/MarksQualityCleaners/" TargetMode="External"/><Relationship Id="rId481" Type="http://schemas.openxmlformats.org/officeDocument/2006/relationships/hyperlink" Target="https://www.yelp.com/biz/marks-quality-cleaners-miami-beach-2" TargetMode="External"/><Relationship Id="rId482" Type="http://schemas.openxmlformats.org/officeDocument/2006/relationships/hyperlink" Target="https://marksqualitycleaners.net/contact/" TargetMode="External"/><Relationship Id="rId483" Type="http://schemas.openxmlformats.org/officeDocument/2006/relationships/hyperlink" Target="https://islandhousesouthbeach.com/" TargetMode="External"/><Relationship Id="rId484" Type="http://schemas.openxmlformats.org/officeDocument/2006/relationships/hyperlink" Target="https://islandhousesouthbeach.com/" TargetMode="External"/><Relationship Id="rId485" Type="http://schemas.openxmlformats.org/officeDocument/2006/relationships/hyperlink" Target="https://www.yelp.com/biz/chocolada-bakery-and-cafe-hollywood" TargetMode="External"/><Relationship Id="rId486" Type="http://schemas.openxmlformats.org/officeDocument/2006/relationships/hyperlink" Target="https://www.facebook.com/hollywoodchocolada/" TargetMode="External"/><Relationship Id="rId487" Type="http://schemas.openxmlformats.org/officeDocument/2006/relationships/hyperlink" Target="https://www.yelp.com/biz/chocolada-bakery-and-cafe-hollywood" TargetMode="External"/><Relationship Id="rId488" Type="http://schemas.openxmlformats.org/officeDocument/2006/relationships/hyperlink" Target="https://www.yellowpages.com/hollywood-fl/mip/chocolada-bakery-cafe-8426628" TargetMode="External"/><Relationship Id="rId489" Type="http://schemas.openxmlformats.org/officeDocument/2006/relationships/hyperlink" Target="https://www.yelp.com/biz/santos-barber-shop-hollywood" TargetMode="External"/><Relationship Id="rId490" Type="http://schemas.openxmlformats.org/officeDocument/2006/relationships/hyperlink" Target="https://www.facebook.com/santosbarbershophollywood/" TargetMode="External"/><Relationship Id="rId491" Type="http://schemas.openxmlformats.org/officeDocument/2006/relationships/hyperlink" Target="https://www.yelp.com/biz/santos-barber-shop-hollywood" TargetMode="External"/><Relationship Id="rId492" Type="http://schemas.openxmlformats.org/officeDocument/2006/relationships/hyperlink" Target="https://www.yellowpages.com/hollywood-fl/mip/santos-barber-shop-470291605" TargetMode="External"/><Relationship Id="rId493" Type="http://schemas.openxmlformats.org/officeDocument/2006/relationships/hyperlink" Target="https://www.tripadvisor.com/Hotel_Review-g34296-d12460813-Reviews-Golden_Sand_Motel-Hollywood_Broward_County_Florida.html" TargetMode="External"/><Relationship Id="rId494" Type="http://schemas.openxmlformats.org/officeDocument/2006/relationships/hyperlink" Target="https://goldensandoceanfront.godaddysites.com/" TargetMode="External"/><Relationship Id="rId495" Type="http://schemas.openxmlformats.org/officeDocument/2006/relationships/hyperlink" Target="https://www.yelp.com/biz/diane-oceanfront-suites-hollywood" TargetMode="External"/><Relationship Id="rId496" Type="http://schemas.openxmlformats.org/officeDocument/2006/relationships/hyperlink" Target="https://www.facebook.com/Dianesuites/" TargetMode="External"/><Relationship Id="rId497" Type="http://schemas.openxmlformats.org/officeDocument/2006/relationships/hyperlink" Target="https://www.yelp.com/biz/diane-oceanfront-suites-hollywood" TargetMode="External"/><Relationship Id="rId498" Type="http://schemas.openxmlformats.org/officeDocument/2006/relationships/hyperlink" Target="https://dianeoceanfrontsuites.com/" TargetMode="External"/><Relationship Id="rId499" Type="http://schemas.openxmlformats.org/officeDocument/2006/relationships/hyperlink" Target="https://www.southfloridasuntimes.com/news/ferrara-auto-spa,-ferrara-automotive:-serving-the-broward-community-for-20-years" TargetMode="External"/><Relationship Id="rId500" Type="http://schemas.openxmlformats.org/officeDocument/2006/relationships/hyperlink" Target="https://www.facebook.com/ferraraautospa/" TargetMode="External"/><Relationship Id="rId501" Type="http://schemas.openxmlformats.org/officeDocument/2006/relationships/hyperlink" Target="https://www.yelp.com/biz/ferrara-auto-spa-hollywood" TargetMode="External"/><Relationship Id="rId502" Type="http://schemas.openxmlformats.org/officeDocument/2006/relationships/hyperlink" Target="https://www.yelp.com/biz/ferrara-auto-spa-hollywood" TargetMode="External"/><Relationship Id="rId503" Type="http://schemas.openxmlformats.org/officeDocument/2006/relationships/hyperlink" Target="https://www.yelp.com/biz/tarks-of-dania-beach-dania-beach" TargetMode="External"/><Relationship Id="rId504" Type="http://schemas.openxmlformats.org/officeDocument/2006/relationships/hyperlink" Target="https://www.instagram.com/tarksdania/" TargetMode="External"/><Relationship Id="rId505" Type="http://schemas.openxmlformats.org/officeDocument/2006/relationships/hyperlink" Target="https://www.yelp.com/biz/tarks-of-dania-beach-dania-beach" TargetMode="External"/><Relationship Id="rId506" Type="http://schemas.openxmlformats.org/officeDocument/2006/relationships/hyperlink" Target="https://tarksofdania.com/" TargetMode="External"/><Relationship Id="rId507" Type="http://schemas.openxmlformats.org/officeDocument/2006/relationships/hyperlink" Target="https://www.yelp.com/biz/alexandrias-grooming-fort-lauderdale" TargetMode="External"/><Relationship Id="rId508" Type="http://schemas.openxmlformats.org/officeDocument/2006/relationships/hyperlink" Target="https://www.facebook.com/AlexandriasGrooming/" TargetMode="External"/><Relationship Id="rId509" Type="http://schemas.openxmlformats.org/officeDocument/2006/relationships/hyperlink" Target="https://www.yelp.com/biz/alexandrias-grooming-fort-lauderdale" TargetMode="External"/><Relationship Id="rId510" Type="http://schemas.openxmlformats.org/officeDocument/2006/relationships/hyperlink" Target="https://www.bbb.org/us/fl/fort-lauderdale/profile/pet-grooming/alexandrias-grooming-inc-0633-7003888" TargetMode="External"/><Relationship Id="rId511" Type="http://schemas.openxmlformats.org/officeDocument/2006/relationships/hyperlink" Target="https://www.yelp.com/biz/chungs-kung-fu-and-tai-chi-academy-fort-lauderdale" TargetMode="External"/><Relationship Id="rId512" Type="http://schemas.openxmlformats.org/officeDocument/2006/relationships/hyperlink" Target="https://www.facebook.com/dragonkungfuflorida" TargetMode="External"/><Relationship Id="rId513" Type="http://schemas.openxmlformats.org/officeDocument/2006/relationships/hyperlink" Target="https://www.yelp.com/biz/chungs-kung-fu-and-tai-chi-academy-fort-lauderdale" TargetMode="External"/><Relationship Id="rId514" Type="http://schemas.openxmlformats.org/officeDocument/2006/relationships/hyperlink" Target="https://local.yahoo.com/info-120238237-chung-s-kung-fu-and-tai-chi-academy-fort-lauderdale" TargetMode="External"/><Relationship Id="rId515" Type="http://schemas.openxmlformats.org/officeDocument/2006/relationships/hyperlink" Target="https://www.yelp.com/biz/egg-and-you-diner-fort-lauderdale" TargetMode="External"/><Relationship Id="rId516" Type="http://schemas.openxmlformats.org/officeDocument/2006/relationships/hyperlink" Target="https://www.facebook.com/p/Egg-You-Diner-100063651605655/" TargetMode="External"/><Relationship Id="rId517" Type="http://schemas.openxmlformats.org/officeDocument/2006/relationships/hyperlink" Target="https://www.yelp.com/biz/egg-and-you-diner-fort-lauderdale" TargetMode="External"/><Relationship Id="rId518" Type="http://schemas.openxmlformats.org/officeDocument/2006/relationships/hyperlink" Target="https://local.yahoo.com/info-14319666-egg-you-diner-fort-lauderdale/" TargetMode="External"/><Relationship Id="rId519" Type="http://schemas.openxmlformats.org/officeDocument/2006/relationships/hyperlink" Target="https://www.birchpatio.com/contact-us" TargetMode="External"/><Relationship Id="rId520" Type="http://schemas.openxmlformats.org/officeDocument/2006/relationships/hyperlink" Target="https://www.facebook.com/p/Birch-Patio-Motel-100069655021722/" TargetMode="External"/><Relationship Id="rId521" Type="http://schemas.openxmlformats.org/officeDocument/2006/relationships/hyperlink" Target="https://www.yelp.com/biz/birch-patio-motel-fort-lauderdale" TargetMode="External"/><Relationship Id="rId522" Type="http://schemas.openxmlformats.org/officeDocument/2006/relationships/hyperlink" Target="https://www.birchpatio.com/contact-us" TargetMode="External"/><Relationship Id="rId523" Type="http://schemas.openxmlformats.org/officeDocument/2006/relationships/hyperlink" Target="https://flamingofishing.com/" TargetMode="External"/><Relationship Id="rId524" Type="http://schemas.openxmlformats.org/officeDocument/2006/relationships/hyperlink" Target="https://flamingofishing.com/" TargetMode="External"/><Relationship Id="rId525" Type="http://schemas.openxmlformats.org/officeDocument/2006/relationships/hyperlink" Target="https://www.yelp.com/biz/giralda-cleaners-coral-gables-4" TargetMode="External"/><Relationship Id="rId526" Type="http://schemas.openxmlformats.org/officeDocument/2006/relationships/hyperlink" Target="https://www.yelp.com/biz/giralda-cleaners-coral-gables-4" TargetMode="External"/><Relationship Id="rId527" Type="http://schemas.openxmlformats.org/officeDocument/2006/relationships/hyperlink" Target="https://www.giraldacleaners.com/about/" TargetMode="External"/><Relationship Id="rId528" Type="http://schemas.openxmlformats.org/officeDocument/2006/relationships/hyperlink" Target="https://www.yelp.com/biz/botanica-teniola-hialeah-2" TargetMode="External"/><Relationship Id="rId529" Type="http://schemas.openxmlformats.org/officeDocument/2006/relationships/hyperlink" Target="https://www.facebook.com/teniola.botanica/" TargetMode="External"/><Relationship Id="rId530" Type="http://schemas.openxmlformats.org/officeDocument/2006/relationships/hyperlink" Target="https://www.instagram.com/teniola_botanica/" TargetMode="External"/><Relationship Id="rId531" Type="http://schemas.openxmlformats.org/officeDocument/2006/relationships/hyperlink" Target="https://www.yelp.com/biz/botanica-teniola-hialeah-2" TargetMode="External"/><Relationship Id="rId532" Type="http://schemas.openxmlformats.org/officeDocument/2006/relationships/hyperlink" Target="https://www.yelp.com/biz/botanica-teniola-hialeah-2" TargetMode="External"/><Relationship Id="rId533" Type="http://schemas.openxmlformats.org/officeDocument/2006/relationships/hyperlink" Target="https://www.yelp.com/biz/botanica-olocun-hialeah" TargetMode="External"/><Relationship Id="rId534" Type="http://schemas.openxmlformats.org/officeDocument/2006/relationships/hyperlink" Target="https://www.yelp.com/biz/botanica-olocun-hialeah" TargetMode="External"/><Relationship Id="rId535" Type="http://schemas.openxmlformats.org/officeDocument/2006/relationships/hyperlink" Target="https://www.yelp.com/biz/botanica-olocun-hialeah" TargetMode="External"/><Relationship Id="rId536" Type="http://schemas.openxmlformats.org/officeDocument/2006/relationships/hyperlink" Target="https://www.yelp.com/biz/botanica-ache-iboru-hialeah" TargetMode="External"/><Relationship Id="rId537" Type="http://schemas.openxmlformats.org/officeDocument/2006/relationships/hyperlink" Target="https://www.yelp.com/biz/botanica-ache-iboru-hialeah" TargetMode="External"/><Relationship Id="rId538" Type="http://schemas.openxmlformats.org/officeDocument/2006/relationships/hyperlink" Target="https://www.yelp.com/biz/botanica-ache-iboru-hialeah" TargetMode="External"/><Relationship Id="rId539" Type="http://schemas.openxmlformats.org/officeDocument/2006/relationships/hyperlink" Target="https://www.yelp.com/biz/botanica-inshe-hialeah" TargetMode="External"/><Relationship Id="rId540" Type="http://schemas.openxmlformats.org/officeDocument/2006/relationships/hyperlink" Target="https://www.yelp.com/biz/botanica-inshe-hialeah" TargetMode="External"/><Relationship Id="rId541" Type="http://schemas.openxmlformats.org/officeDocument/2006/relationships/hyperlink" Target="https://www.yelp.com/biz/botanica-inshe-hialeah" TargetMode="External"/><Relationship Id="rId542" Type="http://schemas.openxmlformats.org/officeDocument/2006/relationships/hyperlink" Target="https://www.yelp.com/biz/botanica-ibu-kole5-hialeah" TargetMode="External"/><Relationship Id="rId543" Type="http://schemas.openxmlformats.org/officeDocument/2006/relationships/hyperlink" Target="https://www.yelp.com/biz/botanica-ibu-kole5-hialeah" TargetMode="External"/><Relationship Id="rId544" Type="http://schemas.openxmlformats.org/officeDocument/2006/relationships/hyperlink" Target="https://www.yelp.com/biz/botanica-ibu-kole5-hialeah" TargetMode="External"/><Relationship Id="rId545" Type="http://schemas.openxmlformats.org/officeDocument/2006/relationships/hyperlink" Target="https://www.miaminewtimes.com/location/botanica-nena-6420256/" TargetMode="External"/><Relationship Id="rId546" Type="http://schemas.openxmlformats.org/officeDocument/2006/relationships/hyperlink" Target="https://www.facebook.com/botanicanena1/" TargetMode="External"/><Relationship Id="rId547" Type="http://schemas.openxmlformats.org/officeDocument/2006/relationships/hyperlink" Target="https://www.yelp.com/biz/botanica-nena-miami-2" TargetMode="External"/><Relationship Id="rId548" Type="http://schemas.openxmlformats.org/officeDocument/2006/relationships/hyperlink" Target="https://www.bbb.org/us/fl/miami/profile/religious-goods/botanica-nena-0633-90212586" TargetMode="External"/><Relationship Id="rId549" Type="http://schemas.openxmlformats.org/officeDocument/2006/relationships/hyperlink" Target="https://www.yelp.com/biz/mi-casa-furniture-hialeah-2" TargetMode="External"/><Relationship Id="rId550" Type="http://schemas.openxmlformats.org/officeDocument/2006/relationships/hyperlink" Target="https://www.yelp.com/biz/mi-casa-furniture-hialeah-2" TargetMode="External"/><Relationship Id="rId551" Type="http://schemas.openxmlformats.org/officeDocument/2006/relationships/hyperlink" Target="https://www.yellowpages.com/hialeah-fl/mip/mi-casa-furniture-3828093" TargetMode="External"/><Relationship Id="rId552" Type="http://schemas.openxmlformats.org/officeDocument/2006/relationships/hyperlink" Target="https://www.yelp.com/biz/rana-furniture-hialeah-3" TargetMode="External"/><Relationship Id="rId553" Type="http://schemas.openxmlformats.org/officeDocument/2006/relationships/hyperlink" Target="https://www.yelp.com/biz/rana-furniture-hialeah-3" TargetMode="External"/><Relationship Id="rId554" Type="http://schemas.openxmlformats.org/officeDocument/2006/relationships/hyperlink" Target="https://www.yelp.com/biz/rana-furniture-hialeah-3" TargetMode="External"/><Relationship Id="rId555" Type="http://schemas.openxmlformats.org/officeDocument/2006/relationships/hyperlink" Target="https://www.yelp.com/biz/tire-factory-outlet-hialeah" TargetMode="External"/><Relationship Id="rId556" Type="http://schemas.openxmlformats.org/officeDocument/2006/relationships/hyperlink" Target="https://www.facebook.com/TFOMIA/" TargetMode="External"/><Relationship Id="rId557" Type="http://schemas.openxmlformats.org/officeDocument/2006/relationships/hyperlink" Target="https://www.yelp.com/biz/tire-factory-outlet-hialeah" TargetMode="External"/><Relationship Id="rId558" Type="http://schemas.openxmlformats.org/officeDocument/2006/relationships/hyperlink" Target="https://www.bbb.org/us/fl/hialeah/profile/tire-dealers/tire-factory-outlet-inc-0633-92018796" TargetMode="External"/><Relationship Id="rId559" Type="http://schemas.openxmlformats.org/officeDocument/2006/relationships/hyperlink" Target="https://www.yelp.com/biz/gladys-tires-hialeah-2" TargetMode="External"/><Relationship Id="rId560" Type="http://schemas.openxmlformats.org/officeDocument/2006/relationships/hyperlink" Target="https://www.facebook.com/gladystires/" TargetMode="External"/><Relationship Id="rId561" Type="http://schemas.openxmlformats.org/officeDocument/2006/relationships/hyperlink" Target="https://www.yelp.com/biz/gladys-tires-hialeah-2" TargetMode="External"/><Relationship Id="rId562" Type="http://schemas.openxmlformats.org/officeDocument/2006/relationships/hyperlink" Target="https://www.yellowpages.com/hialeah-fl/mip/gladys-tires-2334157" TargetMode="External"/><Relationship Id="rId563" Type="http://schemas.openxmlformats.org/officeDocument/2006/relationships/hyperlink" Target="https://reviews.birdeye.com/tires-world-corp-156071049544232" TargetMode="External"/><Relationship Id="rId564" Type="http://schemas.openxmlformats.org/officeDocument/2006/relationships/hyperlink" Target="https://www.instagram.com/tiresworldcorp/" TargetMode="External"/><Relationship Id="rId565" Type="http://schemas.openxmlformats.org/officeDocument/2006/relationships/hyperlink" Target="https://www.yelp.com/biz/tires-world-hialeah-2" TargetMode="External"/><Relationship Id="rId566" Type="http://schemas.openxmlformats.org/officeDocument/2006/relationships/hyperlink" Target="https://reviews.birdeye.com/tires-world-corp-156071049544232" TargetMode="External"/><Relationship Id="rId567" Type="http://schemas.openxmlformats.org/officeDocument/2006/relationships/hyperlink" Target="https://www.southdadenewsleader.com/archives/home-hardware---a-fixture-in-homestead/article_efebc0c6-d95b-578d-a0e1-b6799b5b9805.html" TargetMode="External"/><Relationship Id="rId568" Type="http://schemas.openxmlformats.org/officeDocument/2006/relationships/hyperlink" Target="https://www.yelp.com/biz/home-hardware-and-supply-homestead-2" TargetMode="External"/><Relationship Id="rId569" Type="http://schemas.openxmlformats.org/officeDocument/2006/relationships/hyperlink" Target="https://www.yellowpages.com/homestead-fl/mip/home-hardware-supply-inc-10768996" TargetMode="External"/><Relationship Id="rId570" Type="http://schemas.openxmlformats.org/officeDocument/2006/relationships/hyperlink" Target="https://www.bbb.org/us/fl/homestead/profile/lawn-maintenance/a-w-complete-lawn-care-inc-0633-7003076" TargetMode="External"/><Relationship Id="rId571" Type="http://schemas.openxmlformats.org/officeDocument/2006/relationships/hyperlink" Target="https://www.yellowpages.com/homestead-fl/mip/a-w-complete-lawn-care-inc-6053563" TargetMode="External"/><Relationship Id="rId572" Type="http://schemas.openxmlformats.org/officeDocument/2006/relationships/hyperlink" Target="https://www.bbb.org/us/fl/homestead/profile/landscape-maintenance/mcintyre-maintenance-inc-0633-90425590" TargetMode="External"/><Relationship Id="rId573" Type="http://schemas.openxmlformats.org/officeDocument/2006/relationships/hyperlink" Target="https://www.homeadvisor.com/sp/mcintyre-maintenance" TargetMode="External"/><Relationship Id="rId574" Type="http://schemas.openxmlformats.org/officeDocument/2006/relationships/hyperlink" Target="https://www.bbb.org/us/fl/homestead/profile/landscape-contractors/rock-rose-lawn-care-llc-0633-92053672" TargetMode="External"/><Relationship Id="rId575" Type="http://schemas.openxmlformats.org/officeDocument/2006/relationships/hyperlink" Target="https://www.bbb.org/us/fl/miami/profile/pest-control/florida-pest-specialists-inc-0633-90332736" TargetMode="External"/><Relationship Id="rId576" Type="http://schemas.openxmlformats.org/officeDocument/2006/relationships/hyperlink" Target="https://www.yelp.com/biz/florida-pest-specialists-miami" TargetMode="External"/><Relationship Id="rId577" Type="http://schemas.openxmlformats.org/officeDocument/2006/relationships/hyperlink" Target="https://www.bbb.org/us/fl/miami/profile/pest-control/florida-pest-specialists-inc-0633-90332736" TargetMode="External"/><Relationship Id="rId578" Type="http://schemas.openxmlformats.org/officeDocument/2006/relationships/hyperlink" Target="https://www.bbb.org/us/fl/miami/profile/pest-control/floridian-pest-control-0633-90036096" TargetMode="External"/><Relationship Id="rId579" Type="http://schemas.openxmlformats.org/officeDocument/2006/relationships/hyperlink" Target="https://www.yelp.com/biz/floridian-pest-control-miami" TargetMode="External"/><Relationship Id="rId580" Type="http://schemas.openxmlformats.org/officeDocument/2006/relationships/hyperlink" Target="https://www.manta.com/c/mx47hs2/floridian-pest-control" TargetMode="External"/><Relationship Id="rId581" Type="http://schemas.openxmlformats.org/officeDocument/2006/relationships/hyperlink" Target="https://www.bbb.org/us/fl/miramar/profile/burglar-alarm-systems/safeguard-security-international-inc-0633-92016539/" TargetMode="External"/><Relationship Id="rId582" Type="http://schemas.openxmlformats.org/officeDocument/2006/relationships/hyperlink" Target="https://www.bbb.org/us/fl/miramar/profile/burglar-alarm-systems/safeguard-security-international-inc-0633-92016539/" TargetMode="External"/><Relationship Id="rId583" Type="http://schemas.openxmlformats.org/officeDocument/2006/relationships/hyperlink" Target="https://www.yelp.com/biz/neighbors-moving-and-storage-pompano-beach-3" TargetMode="External"/><Relationship Id="rId584" Type="http://schemas.openxmlformats.org/officeDocument/2006/relationships/hyperlink" Target="https://www.yelp.com/biz/neighbors-moving-and-storage-pompano-beach-3" TargetMode="External"/><Relationship Id="rId585" Type="http://schemas.openxmlformats.org/officeDocument/2006/relationships/hyperlink" Target="https://www.bbb.org/us/fl/pompano-beach/profile/moving-companies/neighbors-moving-services-inc-0633-90059835" TargetMode="External"/><Relationship Id="rId586" Type="http://schemas.openxmlformats.org/officeDocument/2006/relationships/hyperlink" Target="https://childcarecenter.us/provider_detail/nanas_child_care_inc_hialeah_fl" TargetMode="External"/><Relationship Id="rId587" Type="http://schemas.openxmlformats.org/officeDocument/2006/relationships/hyperlink" Target="https://www.facebook.com/p/Nanas-Child-Care-Learning-Center-Inc-100057056304794/" TargetMode="External"/><Relationship Id="rId588" Type="http://schemas.openxmlformats.org/officeDocument/2006/relationships/hyperlink" Target="https://www.yelp.com/biz/nanas-child-care-hialeah" TargetMode="External"/><Relationship Id="rId589" Type="http://schemas.openxmlformats.org/officeDocument/2006/relationships/hyperlink" Target="https://childcarecenter.us/provider_detail/nanas_child_care_inc_hialeah_fl" TargetMode="External"/><Relationship Id="rId590" Type="http://schemas.openxmlformats.org/officeDocument/2006/relationships/hyperlink" Target="https://www.buzzfile.com/business/A-1-Mirta-Driving-School-305-836-6681" TargetMode="External"/><Relationship Id="rId591" Type="http://schemas.openxmlformats.org/officeDocument/2006/relationships/hyperlink" Target="https://www.yelp.com/biz/a-1-mirta-driving-school-hialeah" TargetMode="External"/><Relationship Id="rId592" Type="http://schemas.openxmlformats.org/officeDocument/2006/relationships/hyperlink" Target="https://www.buzzfile.com/business/A-1-Mirta-Driving-School-305-836-6681" TargetMode="External"/><Relationship Id="rId593" Type="http://schemas.openxmlformats.org/officeDocument/2006/relationships/hyperlink" Target="https://www.yelp.com/biz/24-hour-traffic-and-driving-school-hialeah" TargetMode="External"/><Relationship Id="rId594" Type="http://schemas.openxmlformats.org/officeDocument/2006/relationships/hyperlink" Target="https://www.yelp.com/biz/24-hour-traffic-and-driving-school-hialeah" TargetMode="External"/><Relationship Id="rId595" Type="http://schemas.openxmlformats.org/officeDocument/2006/relationships/hyperlink" Target="https://www.yelp.com/biz/24-hour-traffic-and-driving-school-hialeah" TargetMode="External"/><Relationship Id="rId596" Type="http://schemas.openxmlformats.org/officeDocument/2006/relationships/hyperlink" Target="http://www.wisechoicetutoring.com/" TargetMode="External"/><Relationship Id="rId597" Type="http://schemas.openxmlformats.org/officeDocument/2006/relationships/hyperlink" Target="https://www.facebook.com/wisechoicetutoringKENDALL/" TargetMode="External"/><Relationship Id="rId598" Type="http://schemas.openxmlformats.org/officeDocument/2006/relationships/hyperlink" Target="https://www.yelp.com/biz/wise-choice-tutoring-center-miami" TargetMode="External"/><Relationship Id="rId599" Type="http://schemas.openxmlformats.org/officeDocument/2006/relationships/hyperlink" Target="https://www.yelp.com/biz/wise-choice-tutoring-center-miami" TargetMode="External"/><Relationship Id="rId600" Type="http://schemas.openxmlformats.org/officeDocument/2006/relationships/hyperlink" Target="https://www.yelp.com/biz/music-legacies-pembroke-pines" TargetMode="External"/><Relationship Id="rId601" Type="http://schemas.openxmlformats.org/officeDocument/2006/relationships/hyperlink" Target="https://www.facebook.com/MusicLegacies/" TargetMode="External"/><Relationship Id="rId602" Type="http://schemas.openxmlformats.org/officeDocument/2006/relationships/hyperlink" Target="https://www.instagram.com/musiclegacies/" TargetMode="External"/><Relationship Id="rId603" Type="http://schemas.openxmlformats.org/officeDocument/2006/relationships/hyperlink" Target="https://www.yelp.com/biz/music-legacies-pembroke-pines" TargetMode="External"/><Relationship Id="rId604" Type="http://schemas.openxmlformats.org/officeDocument/2006/relationships/hyperlink" Target="https://www.yelp.com/biz/music-legacies-pembroke-pines" TargetMode="External"/><Relationship Id="rId605" Type="http://schemas.openxmlformats.org/officeDocument/2006/relationships/hyperlink" Target="https://www.yelp.com/biz/music-tech-studios-pembroke-pines" TargetMode="External"/><Relationship Id="rId606" Type="http://schemas.openxmlformats.org/officeDocument/2006/relationships/hyperlink" Target="https://www.facebook.com/MusicTechStudios/" TargetMode="External"/><Relationship Id="rId607" Type="http://schemas.openxmlformats.org/officeDocument/2006/relationships/hyperlink" Target="https://www.yelp.com/biz/music-tech-studios-pembroke-pines" TargetMode="External"/><Relationship Id="rId608" Type="http://schemas.openxmlformats.org/officeDocument/2006/relationships/hyperlink" Target="https://musictechstudios.com/" TargetMode="External"/><Relationship Id="rId609" Type="http://schemas.openxmlformats.org/officeDocument/2006/relationships/hyperlink" Target="https://www.yelp.com/biz/the-hit-music-studio-pembroke-pines-pembroke-pines" TargetMode="External"/><Relationship Id="rId610" Type="http://schemas.openxmlformats.org/officeDocument/2006/relationships/hyperlink" Target="https://www.yelp.com/biz/the-hit-music-studio-pembroke-pines-pembroke-pines" TargetMode="External"/><Relationship Id="rId611" Type="http://schemas.openxmlformats.org/officeDocument/2006/relationships/hyperlink" Target="https://labellebeauty.net/contact-us/la-belle-school-hialeah" TargetMode="External"/><Relationship Id="rId612" Type="http://schemas.openxmlformats.org/officeDocument/2006/relationships/hyperlink" Target="https://www.facebook.com/LaBelleSchools" TargetMode="External"/><Relationship Id="rId613" Type="http://schemas.openxmlformats.org/officeDocument/2006/relationships/hyperlink" Target="https://www.yelp.com/biz/la-belle-beauty-school-hialeah" TargetMode="External"/><Relationship Id="rId614" Type="http://schemas.openxmlformats.org/officeDocument/2006/relationships/hyperlink" Target="https://labellebeauty.net/contact-us/la-belle-school-hialeah" TargetMode="External"/><Relationship Id="rId615" Type="http://schemas.openxmlformats.org/officeDocument/2006/relationships/hyperlink" Target="https://www.yelp.com/biz/beauty-schools-of-america-hialeah" TargetMode="External"/><Relationship Id="rId616" Type="http://schemas.openxmlformats.org/officeDocument/2006/relationships/hyperlink" Target="https://www.yelp.com/biz/beauty-schools-of-america-hialeah" TargetMode="External"/><Relationship Id="rId617" Type="http://schemas.openxmlformats.org/officeDocument/2006/relationships/hyperlink" Target="https://www.bbb.org/us/fl/miami/profile/driving-lessons/metro-traffic-school-0633-20002069" TargetMode="External"/><Relationship Id="rId618" Type="http://schemas.openxmlformats.org/officeDocument/2006/relationships/hyperlink" Target="https://www.facebook.com/MetroTrafficSchool/" TargetMode="External"/><Relationship Id="rId619" Type="http://schemas.openxmlformats.org/officeDocument/2006/relationships/hyperlink" Target="https://www.bbb.org/us/fl/miami/profile/driving-lessons/metro-traffic-school-0633-20002069" TargetMode="External"/><Relationship Id="rId620" Type="http://schemas.openxmlformats.org/officeDocument/2006/relationships/hyperlink" Target="https://www.bbb.org/us/fl/miami-gardens/profile/auto-repair/als-auto-service-inc-0633-90086392" TargetMode="External"/><Relationship Id="rId621" Type="http://schemas.openxmlformats.org/officeDocument/2006/relationships/hyperlink" Target="https://www.yelp.com/biz/als-auto-service-center-miami-gardens" TargetMode="External"/><Relationship Id="rId622" Type="http://schemas.openxmlformats.org/officeDocument/2006/relationships/hyperlink" Target="https://alsautoserviceinc.com/contact/" TargetMode="External"/><Relationship Id="rId623" Type="http://schemas.openxmlformats.org/officeDocument/2006/relationships/hyperlink" Target="https://www.yelp.com/biz/elios-locksmith-miami-2" TargetMode="External"/><Relationship Id="rId624" Type="http://schemas.openxmlformats.org/officeDocument/2006/relationships/hyperlink" Target="https://www.yelp.com/biz/elios-locksmith-miami-2" TargetMode="External"/><Relationship Id="rId625" Type="http://schemas.openxmlformats.org/officeDocument/2006/relationships/hyperlink" Target="https://www.elioslocksmith.com/contact-form/" TargetMode="External"/><Relationship Id="rId626" Type="http://schemas.openxmlformats.org/officeDocument/2006/relationships/hyperlink" Target="https://hadleydavisfuneralhome.com/about-us/" TargetMode="External"/><Relationship Id="rId627" Type="http://schemas.openxmlformats.org/officeDocument/2006/relationships/hyperlink" Target="https://www.facebook.com/HadleyDavisFHMAIN/" TargetMode="External"/><Relationship Id="rId628" Type="http://schemas.openxmlformats.org/officeDocument/2006/relationships/hyperlink" Target="https://everloved.com/funeral-homes/FL/miami-gardens/hadley-davis-funeral-home-miami-gardens-fl-33054/" TargetMode="External"/><Relationship Id="rId629" Type="http://schemas.openxmlformats.org/officeDocument/2006/relationships/hyperlink" Target="https://www.bbb.org/us/fl/coral-gables/profile/travel-agency/oasis-travel-and-tours-inc-0633-92004092" TargetMode="External"/><Relationship Id="rId630" Type="http://schemas.openxmlformats.org/officeDocument/2006/relationships/hyperlink" Target="https://www.facebook.com/p/Oasis-Travel-Tours-100092281502112/" TargetMode="External"/><Relationship Id="rId631" Type="http://schemas.openxmlformats.org/officeDocument/2006/relationships/hyperlink" Target="https://www.yelp.com/biz/oasis-travel-and-tours-coral-gables" TargetMode="External"/><Relationship Id="rId632" Type="http://schemas.openxmlformats.org/officeDocument/2006/relationships/hyperlink" Target="https://www.yelp.com/biz/oasis-travel-and-tours-coral-gables" TargetMode="External"/><Relationship Id="rId633" Type="http://schemas.openxmlformats.org/officeDocument/2006/relationships/hyperlink" Target="https://www.totaltravelmarine.com/about/" TargetMode="External"/><Relationship Id="rId634" Type="http://schemas.openxmlformats.org/officeDocument/2006/relationships/hyperlink" Target="https://www.yellowpages.com/coral-gables-fl/mip/total-travel-marine-465681415" TargetMode="External"/><Relationship Id="rId635" Type="http://schemas.openxmlformats.org/officeDocument/2006/relationships/hyperlink" Target="https://lawyers.findlaw.com/profile/view/5159008_1" TargetMode="External"/><Relationship Id="rId636" Type="http://schemas.openxmlformats.org/officeDocument/2006/relationships/hyperlink" Target="https://www.facebook.com/p/Cameron-Law-Group-100057515346188/" TargetMode="External"/><Relationship Id="rId637" Type="http://schemas.openxmlformats.org/officeDocument/2006/relationships/hyperlink" Target="https://www.yelp.com/biz/cameron-law-group-tamarac" TargetMode="External"/><Relationship Id="rId638" Type="http://schemas.openxmlformats.org/officeDocument/2006/relationships/hyperlink" Target="https://cameronlawgroup.com/contact-us/" TargetMode="External"/><Relationship Id="rId639" Type="http://schemas.openxmlformats.org/officeDocument/2006/relationships/hyperlink" Target="https://www.yellowpages.com/coral-springs-fl/upholsterers" TargetMode="External"/><Relationship Id="rId640" Type="http://schemas.openxmlformats.org/officeDocument/2006/relationships/hyperlink" Target="https://www.yellowpages.com/coral-springs-fl/upholsterers" TargetMode="External"/><Relationship Id="rId641" Type="http://schemas.openxmlformats.org/officeDocument/2006/relationships/hyperlink" Target="https://www.yelp.com/biz/eduardos-jewelry-and-watch-repair-shop-coral-gables" TargetMode="External"/><Relationship Id="rId642" Type="http://schemas.openxmlformats.org/officeDocument/2006/relationships/hyperlink" Target="https://www.facebook.com/eduardosjewelry/" TargetMode="External"/><Relationship Id="rId643" Type="http://schemas.openxmlformats.org/officeDocument/2006/relationships/hyperlink" Target="https://www.yelp.com/biz/eduardos-jewelry-and-watch-repair-shop-coral-gables" TargetMode="External"/><Relationship Id="rId644" Type="http://schemas.openxmlformats.org/officeDocument/2006/relationships/hyperlink" Target="https://www.yasabe.com/en/miami-fl/d-692494424-eduardos-jewerly-and-watch-repair-jewelry-watches-service-repair.html" TargetMode="External"/><Relationship Id="rId645" Type="http://schemas.openxmlformats.org/officeDocument/2006/relationships/hyperlink" Target="https://www.yelp.com/biz/kings-pawn-fort-lauderdale" TargetMode="External"/><Relationship Id="rId646" Type="http://schemas.openxmlformats.org/officeDocument/2006/relationships/hyperlink" Target="https://www.facebook.com/kingspawnfortlauderdale/" TargetMode="External"/><Relationship Id="rId647" Type="http://schemas.openxmlformats.org/officeDocument/2006/relationships/hyperlink" Target="https://www.yelp.com/biz/kings-pawn-fort-lauderdale" TargetMode="External"/><Relationship Id="rId648" Type="http://schemas.openxmlformats.org/officeDocument/2006/relationships/hyperlink" Target="https://www.pawnshops.net/store/Kings-Pawn-Shop/15974" TargetMode="External"/><Relationship Id="rId649" Type="http://schemas.openxmlformats.org/officeDocument/2006/relationships/hyperlink" Target="https://www.yelp.com/biz/alberts-fine-jewelers-miami" TargetMode="External"/><Relationship Id="rId650" Type="http://schemas.openxmlformats.org/officeDocument/2006/relationships/hyperlink" Target="https://www.yelp.com/biz/alberts-fine-jewelers-miami" TargetMode="External"/><Relationship Id="rId651" Type="http://schemas.openxmlformats.org/officeDocument/2006/relationships/hyperlink" Target="https://seyboldjewelry.com/alberts-fine-jewelers/" TargetMode="External"/><Relationship Id="rId652" Type="http://schemas.openxmlformats.org/officeDocument/2006/relationships/hyperlink" Target="https://www.yelp.com/biz/miros-watch-repair-miami" TargetMode="External"/><Relationship Id="rId653" Type="http://schemas.openxmlformats.org/officeDocument/2006/relationships/hyperlink" Target="https://www.yelp.com/biz/miros-watch-repair-miami" TargetMode="External"/><Relationship Id="rId654" Type="http://schemas.openxmlformats.org/officeDocument/2006/relationships/hyperlink" Target="https://www.watchrepairinmiamifl.com/contact/" TargetMode="External"/><Relationship Id="rId655" Type="http://schemas.openxmlformats.org/officeDocument/2006/relationships/hyperlink" Target="https://www.yelp.com/biz/s-a-watch-repair-miami" TargetMode="External"/><Relationship Id="rId656" Type="http://schemas.openxmlformats.org/officeDocument/2006/relationships/hyperlink" Target="https://www.yelp.com/biz/s-a-watch-repair-miami" TargetMode="External"/><Relationship Id="rId657" Type="http://schemas.openxmlformats.org/officeDocument/2006/relationships/hyperlink" Target="https://www.yelp.com/biz/s-a-watch-repair-miami" TargetMode="External"/><Relationship Id="rId658" Type="http://schemas.openxmlformats.org/officeDocument/2006/relationships/hyperlink" Target="https://seyboldjewelry.com/nemaro-jewelers-inc/" TargetMode="External"/><Relationship Id="rId659" Type="http://schemas.openxmlformats.org/officeDocument/2006/relationships/hyperlink" Target="https://www.instagram.com/nemarojewelers/" TargetMode="External"/><Relationship Id="rId660" Type="http://schemas.openxmlformats.org/officeDocument/2006/relationships/hyperlink" Target="https://www.yelp.com/biz/nemaro-jewelers-miami" TargetMode="External"/><Relationship Id="rId661" Type="http://schemas.openxmlformats.org/officeDocument/2006/relationships/hyperlink" Target="https://www.nemarojewelers.com/contact/" TargetMode="External"/><Relationship Id="rId662" Type="http://schemas.openxmlformats.org/officeDocument/2006/relationships/hyperlink" Target="https://eyeglassemporiummiami.com/" TargetMode="External"/><Relationship Id="rId663" Type="http://schemas.openxmlformats.org/officeDocument/2006/relationships/hyperlink" Target="https://www.facebook.com/eyeglassemporium/" TargetMode="External"/><Relationship Id="rId664" Type="http://schemas.openxmlformats.org/officeDocument/2006/relationships/hyperlink" Target="https://www.yelp.com/biz/eyeglass-emporium-miami-beach" TargetMode="External"/><Relationship Id="rId665" Type="http://schemas.openxmlformats.org/officeDocument/2006/relationships/hyperlink" Target="https://eyeglassemporiummiami.com/contact-us/" TargetMode="External"/><Relationship Id="rId666" Type="http://schemas.openxmlformats.org/officeDocument/2006/relationships/hyperlink" Target="https://www.yelp.com/biz/exotic-eyewear-optical-fort-lauderdale" TargetMode="External"/><Relationship Id="rId667" Type="http://schemas.openxmlformats.org/officeDocument/2006/relationships/hyperlink" Target="https://www.facebook.com/eyewearopticalftlauderdale/" TargetMode="External"/><Relationship Id="rId668" Type="http://schemas.openxmlformats.org/officeDocument/2006/relationships/hyperlink" Target="https://www.yelp.com/biz/exotic-eyewear-optical-fort-lauderdale" TargetMode="External"/><Relationship Id="rId669" Type="http://schemas.openxmlformats.org/officeDocument/2006/relationships/hyperlink" Target="https://exoticeyewearoptical.com/contact-us.html" TargetMode="External"/><Relationship Id="rId670" Type="http://schemas.openxmlformats.org/officeDocument/2006/relationships/hyperlink" Target="https://www.yelp.com/biz/optica-lopez-miami" TargetMode="External"/><Relationship Id="rId671" Type="http://schemas.openxmlformats.org/officeDocument/2006/relationships/hyperlink" Target="https://www.facebook.com/p/Optica-Lopez-100066310637470/" TargetMode="External"/><Relationship Id="rId672" Type="http://schemas.openxmlformats.org/officeDocument/2006/relationships/hyperlink" Target="https://www.yelp.com/biz/optica-lopez-miami" TargetMode="External"/><Relationship Id="rId673" Type="http://schemas.openxmlformats.org/officeDocument/2006/relationships/hyperlink" Target="https://opticallopez.com/contact-us/" TargetMode="External"/><Relationship Id="rId674" Type="http://schemas.openxmlformats.org/officeDocument/2006/relationships/hyperlink" Target="https://www.yelp.com/biz/minebender-jewelers-hollywood" TargetMode="External"/><Relationship Id="rId675" Type="http://schemas.openxmlformats.org/officeDocument/2006/relationships/hyperlink" Target="https://www.facebook.com/MinebenderJewelers/" TargetMode="External"/><Relationship Id="rId676" Type="http://schemas.openxmlformats.org/officeDocument/2006/relationships/hyperlink" Target="https://www.instagram.com/minebenderjewelers/" TargetMode="External"/><Relationship Id="rId677" Type="http://schemas.openxmlformats.org/officeDocument/2006/relationships/hyperlink" Target="https://www.yelp.com/biz/minebender-jewelers-hollywood" TargetMode="External"/><Relationship Id="rId678" Type="http://schemas.openxmlformats.org/officeDocument/2006/relationships/hyperlink" Target="https://jewelers.cmac.ws/minebender-jewelry/55656/" TargetMode="External"/><Relationship Id="rId679" Type="http://schemas.openxmlformats.org/officeDocument/2006/relationships/hyperlink" Target="https://www.yelp.com/biz/entonces-watch-and-jewelry-repair-aventura-2" TargetMode="External"/><Relationship Id="rId680" Type="http://schemas.openxmlformats.org/officeDocument/2006/relationships/hyperlink" Target="https://www.yelp.com/biz/entonces-watch-and-jewelry-repair-aventura-2" TargetMode="External"/><Relationship Id="rId681" Type="http://schemas.openxmlformats.org/officeDocument/2006/relationships/hyperlink" Target="https://www.chamberofcommerce.com/business-directory/florida/aventura/watch-repair-service/2006700389-entonces-jewelry-and-watch-repair" TargetMode="External"/><Relationship Id="rId682" Type="http://schemas.openxmlformats.org/officeDocument/2006/relationships/hyperlink" Target="https://carrollsjewelers.com/pages/our-history" TargetMode="External"/><Relationship Id="rId683" Type="http://schemas.openxmlformats.org/officeDocument/2006/relationships/hyperlink" Target="https://www.linkedin.com/company/carrollsjewelers" TargetMode="External"/><Relationship Id="rId684" Type="http://schemas.openxmlformats.org/officeDocument/2006/relationships/hyperlink" Target="https://www.yelp.com/biz/carrolls-jewelers-fort-lauderdale" TargetMode="External"/><Relationship Id="rId685" Type="http://schemas.openxmlformats.org/officeDocument/2006/relationships/hyperlink" Target="https://carrollsjewelers.com/pages/contact-us" TargetMode="External"/><Relationship Id="rId686" Type="http://schemas.openxmlformats.org/officeDocument/2006/relationships/hyperlink" Target="https://www.yelp.com/biz/morningstars-jewelers-and-pawnbrokers-hollywood" TargetMode="External"/><Relationship Id="rId687" Type="http://schemas.openxmlformats.org/officeDocument/2006/relationships/hyperlink" Target="https://www.facebook.com/MorningstarsJewelersPawnbrokers/" TargetMode="External"/><Relationship Id="rId688" Type="http://schemas.openxmlformats.org/officeDocument/2006/relationships/hyperlink" Target="https://www.yelp.com/biz/morningstars-jewelers-and-pawnbrokers-hollywood" TargetMode="External"/><Relationship Id="rId689" Type="http://schemas.openxmlformats.org/officeDocument/2006/relationships/hyperlink" Target="https://morningstarsjewelers.com/pages/contact" TargetMode="External"/><Relationship Id="rId690" Type="http://schemas.openxmlformats.org/officeDocument/2006/relationships/hyperlink" Target="https://dixiepawnfl.com/about/" TargetMode="External"/><Relationship Id="rId691" Type="http://schemas.openxmlformats.org/officeDocument/2006/relationships/hyperlink" Target="https://www.facebook.com/dixiepawnfl/" TargetMode="External"/><Relationship Id="rId692" Type="http://schemas.openxmlformats.org/officeDocument/2006/relationships/hyperlink" Target="https://www.yelp.com/biz/dixie-pawn-and-jewelry-hollywood" TargetMode="External"/><Relationship Id="rId693" Type="http://schemas.openxmlformats.org/officeDocument/2006/relationships/hyperlink" Target="https://dixiepawnfl.com/" TargetMode="External"/><Relationship Id="rId694" Type="http://schemas.openxmlformats.org/officeDocument/2006/relationships/hyperlink" Target="https://www.yelp.com/biz/lendoiro-jewelry-and-pawn-shop-miami" TargetMode="External"/><Relationship Id="rId695" Type="http://schemas.openxmlformats.org/officeDocument/2006/relationships/hyperlink" Target="https://www.facebook.com/p/Lendoiro-Jewelry-Pawn-Shop-100080149462138/" TargetMode="External"/><Relationship Id="rId696" Type="http://schemas.openxmlformats.org/officeDocument/2006/relationships/hyperlink" Target="https://www.instagram.com/joyerialendoiromiami/" TargetMode="External"/><Relationship Id="rId697" Type="http://schemas.openxmlformats.org/officeDocument/2006/relationships/hyperlink" Target="https://www.yelp.com/biz/lendoiro-jewelry-and-pawn-shop-miami" TargetMode="External"/><Relationship Id="rId698" Type="http://schemas.openxmlformats.org/officeDocument/2006/relationships/hyperlink" Target="https://www.pawnshops.net/store/Lendoiro-Jewelry-and-Pawn-Shop/8861" TargetMode="External"/><Relationship Id="rId699" Type="http://schemas.openxmlformats.org/officeDocument/2006/relationships/hyperlink" Target="https://www.yelp.com/biz/parko-jewelry-and-pawn-miami" TargetMode="External"/><Relationship Id="rId700" Type="http://schemas.openxmlformats.org/officeDocument/2006/relationships/hyperlink" Target="https://www.facebook.com/parkojewelry/" TargetMode="External"/><Relationship Id="rId701" Type="http://schemas.openxmlformats.org/officeDocument/2006/relationships/hyperlink" Target="https://www.yelp.com/biz/parko-jewelry-and-pawn-miami" TargetMode="External"/><Relationship Id="rId702" Type="http://schemas.openxmlformats.org/officeDocument/2006/relationships/hyperlink" Target="https://citytocitymarket.com/parko-jewelry-and-pawn-miami" TargetMode="External"/><Relationship Id="rId703" Type="http://schemas.openxmlformats.org/officeDocument/2006/relationships/hyperlink" Target="https://www.yelp.com/biz/el-diamante-jewelry-and-pawn-miami" TargetMode="External"/><Relationship Id="rId704" Type="http://schemas.openxmlformats.org/officeDocument/2006/relationships/hyperlink" Target="https://www.facebook.com/p/El-Diamant&#233;-Jewelry-Pawn-100063495432776/" TargetMode="External"/><Relationship Id="rId705" Type="http://schemas.openxmlformats.org/officeDocument/2006/relationships/hyperlink" Target="https://www.yelp.com/biz/el-diamante-jewelry-and-pawn-miami" TargetMode="External"/><Relationship Id="rId706" Type="http://schemas.openxmlformats.org/officeDocument/2006/relationships/hyperlink" Target="https://www.bbb.org/us/fl/miami/profile/pawnbroker/el-diamante-jewelry-pawn-0633-92004423" TargetMode="External"/><Relationship Id="rId707" Type="http://schemas.openxmlformats.org/officeDocument/2006/relationships/hyperlink" Target="https://m.m.yelp.com/biz/team-perfume-center-miami-2" TargetMode="External"/><Relationship Id="rId708" Type="http://schemas.openxmlformats.org/officeDocument/2006/relationships/hyperlink" Target="https://m.m.yelp.com/biz/team-perfume-center-miami-2" TargetMode="External"/><Relationship Id="rId709" Type="http://schemas.openxmlformats.org/officeDocument/2006/relationships/hyperlink" Target="https://www.superpages.com/miami-fl/bpp/team-perfume-center-8967915" TargetMode="External"/><Relationship Id="rId710" Type="http://schemas.openxmlformats.org/officeDocument/2006/relationships/hyperlink" Target="https://www.yelp.com/biz/bellis-perfumes-miami-5" TargetMode="External"/><Relationship Id="rId711" Type="http://schemas.openxmlformats.org/officeDocument/2006/relationships/hyperlink" Target="https://www.facebook.com/bellisperfumes/" TargetMode="External"/><Relationship Id="rId712" Type="http://schemas.openxmlformats.org/officeDocument/2006/relationships/hyperlink" Target="https://www.instagram.com/bellisfragances/" TargetMode="External"/><Relationship Id="rId713" Type="http://schemas.openxmlformats.org/officeDocument/2006/relationships/hyperlink" Target="https://www.yelp.com/biz/bellis-perfumes-miami-5" TargetMode="External"/><Relationship Id="rId714" Type="http://schemas.openxmlformats.org/officeDocument/2006/relationships/hyperlink" Target="https://www.yelp.com/biz/bellis-perfumes-miami-5" TargetMode="External"/><Relationship Id="rId715" Type="http://schemas.openxmlformats.org/officeDocument/2006/relationships/hyperlink" Target="https://labelleperfumes.com/" TargetMode="External"/><Relationship Id="rId716" Type="http://schemas.openxmlformats.org/officeDocument/2006/relationships/hyperlink" Target="https://www.facebook.com/LaBellePerfumeDistributors/" TargetMode="External"/><Relationship Id="rId717" Type="http://schemas.openxmlformats.org/officeDocument/2006/relationships/hyperlink" Target="https://www.linkedin.com/company/la-belle-perfume-distributors" TargetMode="External"/><Relationship Id="rId718" Type="http://schemas.openxmlformats.org/officeDocument/2006/relationships/hyperlink" Target="https://www.yelp.com/biz/la-belle-perfume-distributors-miami" TargetMode="External"/><Relationship Id="rId719" Type="http://schemas.openxmlformats.org/officeDocument/2006/relationships/hyperlink" Target="https://www.bbb.org/us/fl/miami/profile/perfume/la-belle-distributors-inc-0633-90153178" TargetMode="External"/><Relationship Id="rId720" Type="http://schemas.openxmlformats.org/officeDocument/2006/relationships/hyperlink" Target="https://seyboldjewelry.com/bos-jewelers-inc/" TargetMode="External"/><Relationship Id="rId721" Type="http://schemas.openxmlformats.org/officeDocument/2006/relationships/hyperlink" Target="https://www.yelp.com/biz/bos-jewelers-miami" TargetMode="External"/><Relationship Id="rId722" Type="http://schemas.openxmlformats.org/officeDocument/2006/relationships/hyperlink" Target="https://www.alignable.com/miami-fl/b-o-s-jewelers-inc" TargetMode="External"/><Relationship Id="rId723" Type="http://schemas.openxmlformats.org/officeDocument/2006/relationships/hyperlink" Target="https://www.yelp.com/biz/lelook-optical-north-miami" TargetMode="External"/><Relationship Id="rId724" Type="http://schemas.openxmlformats.org/officeDocument/2006/relationships/hyperlink" Target="https://www.yelp.com/biz/lelook-optical-north-miami" TargetMode="External"/><Relationship Id="rId725" Type="http://schemas.openxmlformats.org/officeDocument/2006/relationships/hyperlink" Target="https://www.yellowpages.com/north-miami-fl/mip/le-look-optical-inc-11109334" TargetMode="External"/><Relationship Id="rId726" Type="http://schemas.openxmlformats.org/officeDocument/2006/relationships/hyperlink" Target="https://www.yelp.com/biz/home-optical-miami-beach" TargetMode="External"/><Relationship Id="rId727" Type="http://schemas.openxmlformats.org/officeDocument/2006/relationships/hyperlink" Target="https://www.facebook.com/homeopticaUSA/" TargetMode="External"/><Relationship Id="rId728" Type="http://schemas.openxmlformats.org/officeDocument/2006/relationships/hyperlink" Target="https://www.yelp.com/biz/home-optical-miami-beach" TargetMode="External"/><Relationship Id="rId729" Type="http://schemas.openxmlformats.org/officeDocument/2006/relationships/hyperlink" Target="https://home-optical.miamibeachdirect.us/contact/" TargetMode="External"/><Relationship Id="rId730" Type="http://schemas.openxmlformats.org/officeDocument/2006/relationships/hyperlink" Target="https://www.jaesjewelers.com/" TargetMode="External"/><Relationship Id="rId731" Type="http://schemas.openxmlformats.org/officeDocument/2006/relationships/hyperlink" Target="https://www.facebook.com/jaesjewelers/" TargetMode="External"/><Relationship Id="rId732" Type="http://schemas.openxmlformats.org/officeDocument/2006/relationships/hyperlink" Target="https://www.yelp.com/biz/jaes-jewelers-coral-gables" TargetMode="External"/><Relationship Id="rId733" Type="http://schemas.openxmlformats.org/officeDocument/2006/relationships/hyperlink" Target="https://www.jaesjewelers.com/pages/contact-us" TargetMode="External"/><Relationship Id="rId734" Type="http://schemas.openxmlformats.org/officeDocument/2006/relationships/hyperlink" Target="https://www.yelp.com/biz/richards-gems-and-jewelry-miami" TargetMode="External"/><Relationship Id="rId735" Type="http://schemas.openxmlformats.org/officeDocument/2006/relationships/hyperlink" Target="https://www.facebook.com/RichardsJewelryMiami/" TargetMode="External"/><Relationship Id="rId736" Type="http://schemas.openxmlformats.org/officeDocument/2006/relationships/hyperlink" Target="https://www.linkedin.com/company/richards-gems-jewelry" TargetMode="External"/><Relationship Id="rId737" Type="http://schemas.openxmlformats.org/officeDocument/2006/relationships/hyperlink" Target="https://www.yelp.com/biz/richards-gems-and-jewelry-miami" TargetMode="External"/><Relationship Id="rId738" Type="http://schemas.openxmlformats.org/officeDocument/2006/relationships/hyperlink" Target="https://www.bbb.org/us/fl/miami/profile/jewelry-stores/richards-gems-jewelry-0633-5003813" TargetMode="External"/><Relationship Id="rId739" Type="http://schemas.openxmlformats.org/officeDocument/2006/relationships/hyperlink" Target="https://www.yelp.com/biz/watch-repair-miami-3" TargetMode="External"/><Relationship Id="rId740" Type="http://schemas.openxmlformats.org/officeDocument/2006/relationships/hyperlink" Target="https://www.yelp.com/biz/watch-repair-miami-3" TargetMode="External"/><Relationship Id="rId741" Type="http://schemas.openxmlformats.org/officeDocument/2006/relationships/hyperlink" Target="https://www.superpages.com/miami-fl/bpp/watch-repair-inc-13696555" TargetMode="External"/><Relationship Id="rId742" Type="http://schemas.openxmlformats.org/officeDocument/2006/relationships/hyperlink" Target="https://www.yelp.com/biz/kendall-jewelry-miami" TargetMode="External"/><Relationship Id="rId743" Type="http://schemas.openxmlformats.org/officeDocument/2006/relationships/hyperlink" Target="https://www.yelp.com/biz/kendall-jewelry-miami" TargetMode="External"/><Relationship Id="rId744" Type="http://schemas.openxmlformats.org/officeDocument/2006/relationships/hyperlink" Target="https://www.pawnshops.net/store/Kendale-Jewelry-and-Pawn-II/14659" TargetMode="External"/><Relationship Id="rId745" Type="http://schemas.openxmlformats.org/officeDocument/2006/relationships/hyperlink" Target="https://chantillyjewels.com/about-us/" TargetMode="External"/><Relationship Id="rId746" Type="http://schemas.openxmlformats.org/officeDocument/2006/relationships/hyperlink" Target="https://www.yelp.com/biz/chantilly-jewels-miami" TargetMode="External"/><Relationship Id="rId747" Type="http://schemas.openxmlformats.org/officeDocument/2006/relationships/hyperlink" Target="https://chantillyjewels.com/contact/" TargetMode="External"/><Relationship Id="rId748" Type="http://schemas.openxmlformats.org/officeDocument/2006/relationships/hyperlink" Target="https://www.uscoinshows.com/dealers/fl/we-buy-gold-nmb" TargetMode="External"/><Relationship Id="rId749" Type="http://schemas.openxmlformats.org/officeDocument/2006/relationships/hyperlink" Target="https://www.yelp.com/biz/we-buy-gold-north-miami-beach-north-miami-beach" TargetMode="External"/><Relationship Id="rId750" Type="http://schemas.openxmlformats.org/officeDocument/2006/relationships/hyperlink" Target="https://www.webuygoldnmb.com/" TargetMode="External"/><Relationship Id="rId751" Type="http://schemas.openxmlformats.org/officeDocument/2006/relationships/hyperlink" Target="https://www.classicpawn.com/about-us" TargetMode="External"/><Relationship Id="rId752" Type="http://schemas.openxmlformats.org/officeDocument/2006/relationships/hyperlink" Target="https://www.yelp.com/biz/classic-pawn-and-jewelry-fort-lauderdale" TargetMode="External"/><Relationship Id="rId753" Type="http://schemas.openxmlformats.org/officeDocument/2006/relationships/hyperlink" Target="https://www.yelp.com/biz/classic-pawn-and-jewelry-fort-lauderdale" TargetMode="External"/><Relationship Id="rId754" Type="http://schemas.openxmlformats.org/officeDocument/2006/relationships/hyperlink" Target="https://www.yelp.com/biz/carolinas-design-and-alterations-coral-gables" TargetMode="External"/><Relationship Id="rId755" Type="http://schemas.openxmlformats.org/officeDocument/2006/relationships/hyperlink" Target="https://www.yelp.com/biz/carolinas-design-and-alterations-coral-gables" TargetMode="External"/><Relationship Id="rId756" Type="http://schemas.openxmlformats.org/officeDocument/2006/relationships/hyperlink" Target="https://nextdoor.com/pages/carolinas-design-alterations-coral-gables-fl/" TargetMode="External"/><Relationship Id="rId757" Type="http://schemas.openxmlformats.org/officeDocument/2006/relationships/hyperlink" Target="https://www.yelp.com/biz/magic-tailoring-coral-gables" TargetMode="External"/><Relationship Id="rId758" Type="http://schemas.openxmlformats.org/officeDocument/2006/relationships/hyperlink" Target="https://www.facebook.com/p/Magic-Tailoring-100063447624388/" TargetMode="External"/><Relationship Id="rId759" Type="http://schemas.openxmlformats.org/officeDocument/2006/relationships/hyperlink" Target="https://www.yelp.com/biz/magic-tailoring-coral-gables" TargetMode="External"/><Relationship Id="rId760" Type="http://schemas.openxmlformats.org/officeDocument/2006/relationships/hyperlink" Target="https://www.yellowpages.com/coral-gables-fl/mip/magic-tailoring-13414366" TargetMode="External"/><Relationship Id="rId761" Type="http://schemas.openxmlformats.org/officeDocument/2006/relationships/hyperlink" Target="https://www.yelp.com/biz/sartori-amici-coral-gables-3" TargetMode="External"/><Relationship Id="rId762" Type="http://schemas.openxmlformats.org/officeDocument/2006/relationships/hyperlink" Target="https://www.yelp.com/biz/sartori-amici-coral-gables-3" TargetMode="External"/><Relationship Id="rId763" Type="http://schemas.openxmlformats.org/officeDocument/2006/relationships/hyperlink" Target="https://site.coralgableschamber.org/Retail/Sartori-Amici-My-Grooms-Room-9146" TargetMode="External"/><Relationship Id="rId764" Type="http://schemas.openxmlformats.org/officeDocument/2006/relationships/hyperlink" Target="https://www.pinaboutique.com/about.html" TargetMode="External"/><Relationship Id="rId765" Type="http://schemas.openxmlformats.org/officeDocument/2006/relationships/hyperlink" Target="https://www.facebook.com/p/Pina-Fashions-100054673860167/" TargetMode="External"/><Relationship Id="rId766" Type="http://schemas.openxmlformats.org/officeDocument/2006/relationships/hyperlink" Target="https://www.yelp.com/biz/pina-tailoring-and-alterations-fort-lauderdale" TargetMode="External"/><Relationship Id="rId767" Type="http://schemas.openxmlformats.org/officeDocument/2006/relationships/hyperlink" Target="https://www.pinaboutique.com/directions.html" TargetMode="External"/><Relationship Id="rId768" Type="http://schemas.openxmlformats.org/officeDocument/2006/relationships/hyperlink" Target="https://www.yelp.com/biz/deborah-james-fort-lauderdale" TargetMode="External"/><Relationship Id="rId769" Type="http://schemas.openxmlformats.org/officeDocument/2006/relationships/hyperlink" Target="https://www.facebook.com/DeborahJamesLasOlas/" TargetMode="External"/><Relationship Id="rId770" Type="http://schemas.openxmlformats.org/officeDocument/2006/relationships/hyperlink" Target="https://www.yelp.com/biz/deborah-james-fort-lauderdale" TargetMode="External"/><Relationship Id="rId771" Type="http://schemas.openxmlformats.org/officeDocument/2006/relationships/hyperlink" Target="https://www.yellowpages.com/fort-lauderdale-fl/mip/deborah-james-6667899" TargetMode="External"/><Relationship Id="rId772" Type="http://schemas.openxmlformats.org/officeDocument/2006/relationships/hyperlink" Target="https://www.yelp.com/biz/olem-shoe-corp-miami-2" TargetMode="External"/><Relationship Id="rId773" Type="http://schemas.openxmlformats.org/officeDocument/2006/relationships/hyperlink" Target="https://www.facebook.com/OlemShoeCorp/" TargetMode="External"/><Relationship Id="rId774" Type="http://schemas.openxmlformats.org/officeDocument/2006/relationships/hyperlink" Target="https://www.yelp.com/biz/olem-shoe-corp-miami-2" TargetMode="External"/><Relationship Id="rId775" Type="http://schemas.openxmlformats.org/officeDocument/2006/relationships/hyperlink" Target="https://olemshoe.com/about-us/" TargetMode="External"/><Relationship Id="rId776" Type="http://schemas.openxmlformats.org/officeDocument/2006/relationships/hyperlink" Target="https://www.yellowpages.com/miami-fl/mip/magnolia-fashion-wholesale-545604198" TargetMode="External"/><Relationship Id="rId777" Type="http://schemas.openxmlformats.org/officeDocument/2006/relationships/hyperlink" Target="https://www.facebook.com/MagnoliaFashionWholesale/" TargetMode="External"/><Relationship Id="rId778" Type="http://schemas.openxmlformats.org/officeDocument/2006/relationships/hyperlink" Target="https://magnolia-fashion-wholesale.miamidirect.us/contact/" TargetMode="External"/><Relationship Id="rId779" Type="http://schemas.openxmlformats.org/officeDocument/2006/relationships/hyperlink" Target="https://gablesbridaldoral.com/about" TargetMode="External"/><Relationship Id="rId780" Type="http://schemas.openxmlformats.org/officeDocument/2006/relationships/hyperlink" Target="https://www.facebook.com/coralgablesbridals/" TargetMode="External"/><Relationship Id="rId781" Type="http://schemas.openxmlformats.org/officeDocument/2006/relationships/hyperlink" Target="https://www.instagram.com/gablesbridaldoral/" TargetMode="External"/><Relationship Id="rId782" Type="http://schemas.openxmlformats.org/officeDocument/2006/relationships/hyperlink" Target="https://local.yahoo.com/info-237171825-gables-bridal-doral/" TargetMode="External"/><Relationship Id="rId783" Type="http://schemas.openxmlformats.org/officeDocument/2006/relationships/hyperlink" Target="https://www.yelp.com/biz/professional-tailoring-coral-springs" TargetMode="External"/><Relationship Id="rId784" Type="http://schemas.openxmlformats.org/officeDocument/2006/relationships/hyperlink" Target="https://www.yelp.com/biz/professional-tailoring-coral-springs" TargetMode="External"/><Relationship Id="rId785" Type="http://schemas.openxmlformats.org/officeDocument/2006/relationships/hyperlink" Target="https://www.bizprofile.net/fl/coral-springs/professional-tailoring-inc" TargetMode="External"/><Relationship Id="rId786" Type="http://schemas.openxmlformats.org/officeDocument/2006/relationships/hyperlink" Target="https://jeanerationboutique.com/" TargetMode="External"/><Relationship Id="rId787" Type="http://schemas.openxmlformats.org/officeDocument/2006/relationships/hyperlink" Target="https://www.facebook.com/jeanerationboutique/" TargetMode="External"/><Relationship Id="rId788" Type="http://schemas.openxmlformats.org/officeDocument/2006/relationships/hyperlink" Target="https://www.yelp.com/biz/jeaneration-coral-springs" TargetMode="External"/><Relationship Id="rId789" Type="http://schemas.openxmlformats.org/officeDocument/2006/relationships/hyperlink" Target="https://www.yellowpages.com/coral-springs-fl/mip/jeaneration-474699781" TargetMode="External"/><Relationship Id="rId790" Type="http://schemas.openxmlformats.org/officeDocument/2006/relationships/hyperlink" Target="https://www.yelp.com/biz/bikini-brasil-miami-beach" TargetMode="External"/><Relationship Id="rId791" Type="http://schemas.openxmlformats.org/officeDocument/2006/relationships/hyperlink" Target="https://www.facebook.com/Bikinibrasil/" TargetMode="External"/><Relationship Id="rId792" Type="http://schemas.openxmlformats.org/officeDocument/2006/relationships/hyperlink" Target="https://www.instagram.com/bikinibrasilboutique/" TargetMode="External"/><Relationship Id="rId793" Type="http://schemas.openxmlformats.org/officeDocument/2006/relationships/hyperlink" Target="https://www.yelp.com/biz/bikini-brasil-miami-beach" TargetMode="External"/><Relationship Id="rId794" Type="http://schemas.openxmlformats.org/officeDocument/2006/relationships/hyperlink" Target="https://www.yelp.com/biz/bikini-brasil-miami-beach" TargetMode="External"/><Relationship Id="rId795" Type="http://schemas.openxmlformats.org/officeDocument/2006/relationships/hyperlink" Target="https://www.lonelyplanet.com/usa/florida/miami/little-havana/shopping/havana-collection/a/poi-sho/1348918/1341620" TargetMode="External"/><Relationship Id="rId796" Type="http://schemas.openxmlformats.org/officeDocument/2006/relationships/hyperlink" Target="https://www.facebook.com/THEHAVANACOLLECTION/" TargetMode="External"/><Relationship Id="rId797" Type="http://schemas.openxmlformats.org/officeDocument/2006/relationships/hyperlink" Target="https://www.yelp.com/biz/the-havana-shirt-store-miami" TargetMode="External"/><Relationship Id="rId798" Type="http://schemas.openxmlformats.org/officeDocument/2006/relationships/hyperlink" Target="https://calleochonews.com/fidel-asis-opens-another-havana-collection-location-inside-futurama-art-galleries/" TargetMode="External"/><Relationship Id="rId799" Type="http://schemas.openxmlformats.org/officeDocument/2006/relationships/hyperlink" Target="https://www.frommers.com/destinations/miami/shopping/la-casa-de-las-guayaberas/" TargetMode="External"/><Relationship Id="rId800" Type="http://schemas.openxmlformats.org/officeDocument/2006/relationships/hyperlink" Target="https://www.facebook.com/ramonpuigguayaberas/" TargetMode="External"/><Relationship Id="rId801" Type="http://schemas.openxmlformats.org/officeDocument/2006/relationships/hyperlink" Target="https://www.yellowpages.com/west-miami-fl/mip/la-casa-de-las-guayaberas-6864106" TargetMode="External"/><Relationship Id="rId802" Type="http://schemas.openxmlformats.org/officeDocument/2006/relationships/hyperlink" Target="https://www.superpages.com/bp/weston-fl/isabel-boutique-L2189573306.htm" TargetMode="External"/><Relationship Id="rId803" Type="http://schemas.openxmlformats.org/officeDocument/2006/relationships/hyperlink" Target="https://www.yelp.com/biz/isabel-boutique-weston" TargetMode="External"/><Relationship Id="rId804" Type="http://schemas.openxmlformats.org/officeDocument/2006/relationships/hyperlink" Target="https://www.yellowpages.com/weston-fl/mip/isabel-boutique-452277547" TargetMode="External"/><Relationship Id="rId805" Type="http://schemas.openxmlformats.org/officeDocument/2006/relationships/hyperlink" Target="https://shoegallerymiami.com/pages/store-information" TargetMode="External"/><Relationship Id="rId806" Type="http://schemas.openxmlformats.org/officeDocument/2006/relationships/hyperlink" Target="https://www.yelp.com/biz/shoe-gallery-miami" TargetMode="External"/><Relationship Id="rId807" Type="http://schemas.openxmlformats.org/officeDocument/2006/relationships/hyperlink" Target="https://www.yelp.com/biz/shoe-gallery-miami" TargetMode="External"/><Relationship Id="rId808" Type="http://schemas.openxmlformats.org/officeDocument/2006/relationships/hyperlink" Target="https://www.dandb.com/businessdirectory/pinesalterations-pembrokepines-fl-28488386.html" TargetMode="External"/><Relationship Id="rId809" Type="http://schemas.openxmlformats.org/officeDocument/2006/relationships/hyperlink" Target="https://www.yelp.com/biz/pines-alteration-pembroke-pines" TargetMode="External"/><Relationship Id="rId810" Type="http://schemas.openxmlformats.org/officeDocument/2006/relationships/hyperlink" Target="https://www.bbb.org/us/fl/pembroke-pines/profile/clothing-alterations/pines-alterations-and-tailoring-0633-90081510" TargetMode="External"/><Relationship Id="rId811" Type="http://schemas.openxmlformats.org/officeDocument/2006/relationships/hyperlink" Target="https://www.yelp.com/biz/warehouse-uniform-and-embroidery-doral" TargetMode="External"/><Relationship Id="rId812" Type="http://schemas.openxmlformats.org/officeDocument/2006/relationships/hyperlink" Target="https://www.yelp.com/biz/warehouse-uniform-and-embroidery-doral" TargetMode="External"/><Relationship Id="rId813" Type="http://schemas.openxmlformats.org/officeDocument/2006/relationships/hyperlink" Target="https://www.yellowpages.com/doral-fl/mip/warehouse-uniform-embroidery-23004351" TargetMode="External"/><Relationship Id="rId814" Type="http://schemas.openxmlformats.org/officeDocument/2006/relationships/hyperlink" Target="https://www.yelp.com/biz/the-perfect-fit-miami-beach-2" TargetMode="External"/><Relationship Id="rId815" Type="http://schemas.openxmlformats.org/officeDocument/2006/relationships/hyperlink" Target="https://www.facebook.com/161632290522132/" TargetMode="External"/><Relationship Id="rId816" Type="http://schemas.openxmlformats.org/officeDocument/2006/relationships/hyperlink" Target="https://www.yelp.com/biz/the-perfect-fit-miami-beach-2" TargetMode="External"/><Relationship Id="rId817" Type="http://schemas.openxmlformats.org/officeDocument/2006/relationships/hyperlink" Target="https://www.yellowpages.com/miami-beach-fl/mip/the-perfect-fit-tailoring-530984508" TargetMode="External"/><Relationship Id="rId818" Type="http://schemas.openxmlformats.org/officeDocument/2006/relationships/hyperlink" Target="https://www.yelp.com/biz/tailor-republic-miami-beach-2" TargetMode="External"/><Relationship Id="rId819" Type="http://schemas.openxmlformats.org/officeDocument/2006/relationships/hyperlink" Target="https://www.instagram.com/tailor_republic/" TargetMode="External"/><Relationship Id="rId820" Type="http://schemas.openxmlformats.org/officeDocument/2006/relationships/hyperlink" Target="https://www.yelp.com/biz/tailor-republic-miami-beach-2" TargetMode="External"/><Relationship Id="rId821" Type="http://schemas.openxmlformats.org/officeDocument/2006/relationships/hyperlink" Target="https://www.chamberofcommerce.com/united-states/florida/miami-beach/tailor/2013081832-tailor-republic" TargetMode="External"/><Relationship Id="rId822" Type="http://schemas.openxmlformats.org/officeDocument/2006/relationships/hyperlink" Target="https://www.bbb.org/us/fl/hollywood/profile/clothing-alterations/lois-alteration-shop-0633-90072554" TargetMode="External"/><Relationship Id="rId823" Type="http://schemas.openxmlformats.org/officeDocument/2006/relationships/hyperlink" Target="https://www.yelp.com/biz/lois-alteration-shop-hollywood" TargetMode="External"/><Relationship Id="rId824" Type="http://schemas.openxmlformats.org/officeDocument/2006/relationships/hyperlink" Target="https://www.yellowpages.com/hollywood-fl/mip/lois-alteration-shop-15593165" TargetMode="External"/><Relationship Id="rId825" Type="http://schemas.openxmlformats.org/officeDocument/2006/relationships/hyperlink" Target="https://www.yelp.com/biz/marcellas-fashion-weston" TargetMode="External"/><Relationship Id="rId826" Type="http://schemas.openxmlformats.org/officeDocument/2006/relationships/hyperlink" Target="https://www.facebook.com/Marcellasfashion/" TargetMode="External"/><Relationship Id="rId827" Type="http://schemas.openxmlformats.org/officeDocument/2006/relationships/hyperlink" Target="https://www.yelp.com/biz/marcellas-fashion-weston" TargetMode="External"/><Relationship Id="rId828" Type="http://schemas.openxmlformats.org/officeDocument/2006/relationships/hyperlink" Target="https://www.yellowpages.com/weston-fl/mip/marcellas-fashion-460620173" TargetMode="External"/><Relationship Id="rId829" Type="http://schemas.openxmlformats.org/officeDocument/2006/relationships/hyperlink" Target="https://humbertosshoerepair.com/" TargetMode="External"/><Relationship Id="rId830" Type="http://schemas.openxmlformats.org/officeDocument/2006/relationships/hyperlink" Target="https://www.yelp.com/biz/humbertos-shoe-luggage-repair-and-tailor-pembroke-pines" TargetMode="External"/><Relationship Id="rId831" Type="http://schemas.openxmlformats.org/officeDocument/2006/relationships/hyperlink" Target="https://www.yelp.com/biz/humbertos-shoe-luggage-repair-and-tailor-pembroke-pines" TargetMode="External"/><Relationship Id="rId832" Type="http://schemas.openxmlformats.org/officeDocument/2006/relationships/hyperlink" Target="https://www.yelp.com/biz/idolls-boutique-miami-gardens" TargetMode="External"/><Relationship Id="rId833" Type="http://schemas.openxmlformats.org/officeDocument/2006/relationships/hyperlink" Target="https://www.yelp.com/biz/idolls-boutique-miami-gardens" TargetMode="External"/><Relationship Id="rId834" Type="http://schemas.openxmlformats.org/officeDocument/2006/relationships/hyperlink" Target="https://www.yelp.com/biz/idolls-boutique-miami-gardens" TargetMode="External"/><Relationship Id="rId835" Type="http://schemas.openxmlformats.org/officeDocument/2006/relationships/hyperlink" Target="https://www.alluniformwear.com/doral" TargetMode="External"/><Relationship Id="rId836" Type="http://schemas.openxmlformats.org/officeDocument/2006/relationships/hyperlink" Target="https://www.yelp.com/biz/all-uniform-wear-doral-2" TargetMode="External"/><Relationship Id="rId837" Type="http://schemas.openxmlformats.org/officeDocument/2006/relationships/hyperlink" Target="https://www.alluniformwear.com/doral" TargetMode="External"/><Relationship Id="rId838" Type="http://schemas.openxmlformats.org/officeDocument/2006/relationships/hyperlink" Target="https://www.yelp.com/biz/khai-les-alterations-miami-beach" TargetMode="External"/><Relationship Id="rId839" Type="http://schemas.openxmlformats.org/officeDocument/2006/relationships/hyperlink" Target="https://www.yelp.com/biz/khai-les-alterations-miami-beach" TargetMode="External"/><Relationship Id="rId840" Type="http://schemas.openxmlformats.org/officeDocument/2006/relationships/hyperlink" Target="https://www.yelp.com/biz/khai-les-alterations-miami-beach" TargetMode="External"/><Relationship Id="rId841" Type="http://schemas.openxmlformats.org/officeDocument/2006/relationships/hyperlink" Target="https://boatplanet.com/pro/shirts-r-us-of-hollywood-inc" TargetMode="External"/><Relationship Id="rId842" Type="http://schemas.openxmlformats.org/officeDocument/2006/relationships/hyperlink" Target="https://www.yellowpages.com/davie-fl/mip/shirts-r-us-452238217" TargetMode="External"/><Relationship Id="rId843" Type="http://schemas.openxmlformats.org/officeDocument/2006/relationships/hyperlink" Target="https://www.yelp.com/biz/music-arts-enterprises-fort-lauderdale-3" TargetMode="External"/><Relationship Id="rId844" Type="http://schemas.openxmlformats.org/officeDocument/2006/relationships/hyperlink" Target="https://www.facebook.com/MusicArtsEnterprises/" TargetMode="External"/><Relationship Id="rId845" Type="http://schemas.openxmlformats.org/officeDocument/2006/relationships/hyperlink" Target="https://www.yelp.com/biz/music-arts-enterprises-fort-lauderdale-3" TargetMode="External"/><Relationship Id="rId846" Type="http://schemas.openxmlformats.org/officeDocument/2006/relationships/hyperlink" Target="https://www.maemusic.com/" TargetMode="External"/><Relationship Id="rId847" Type="http://schemas.openxmlformats.org/officeDocument/2006/relationships/hyperlink" Target="https://en.wikipedia.org/wiki/Criteria_Studios" TargetMode="External"/><Relationship Id="rId848" Type="http://schemas.openxmlformats.org/officeDocument/2006/relationships/hyperlink" Target="https://www.facebook.com/142433409128998/" TargetMode="External"/><Relationship Id="rId849" Type="http://schemas.openxmlformats.org/officeDocument/2006/relationships/hyperlink" Target="https://www.linkedin.com/company/criteria-recording-studios" TargetMode="External"/><Relationship Id="rId850" Type="http://schemas.openxmlformats.org/officeDocument/2006/relationships/hyperlink" Target="https://www.yelp.com/biz/criteria-recording-studios-miami-3" TargetMode="External"/><Relationship Id="rId851" Type="http://schemas.openxmlformats.org/officeDocument/2006/relationships/hyperlink" Target="https://www.criteriastudios.com/contact" TargetMode="External"/><Relationship Id="rId852" Type="http://schemas.openxmlformats.org/officeDocument/2006/relationships/hyperlink" Target="https://www.42ndstreetstudios.com/" TargetMode="External"/><Relationship Id="rId853" Type="http://schemas.openxmlformats.org/officeDocument/2006/relationships/hyperlink" Target="https://www.facebook.com/42ndststudios/" TargetMode="External"/><Relationship Id="rId854" Type="http://schemas.openxmlformats.org/officeDocument/2006/relationships/hyperlink" Target="https://www.yelp.com/biz/42nd-street-recording-studios-fort-lauderdale-2" TargetMode="External"/><Relationship Id="rId855" Type="http://schemas.openxmlformats.org/officeDocument/2006/relationships/hyperlink" Target="https://www.yelp.com/biz/42nd-street-recording-studios-fort-lauderdale-2" TargetMode="External"/><Relationship Id="rId856" Type="http://schemas.openxmlformats.org/officeDocument/2006/relationships/hyperlink" Target="https://www.yelp.com/biz/wynwood-studio-miami" TargetMode="External"/><Relationship Id="rId857" Type="http://schemas.openxmlformats.org/officeDocument/2006/relationships/hyperlink" Target="https://www.facebook.com/wyn.studios/" TargetMode="External"/><Relationship Id="rId858" Type="http://schemas.openxmlformats.org/officeDocument/2006/relationships/hyperlink" Target="https://www.linkedin.com/company/wynwood-studio" TargetMode="External"/><Relationship Id="rId859" Type="http://schemas.openxmlformats.org/officeDocument/2006/relationships/hyperlink" Target="https://www.yelp.com/biz/wynwood-studio-miami" TargetMode="External"/><Relationship Id="rId860" Type="http://schemas.openxmlformats.org/officeDocument/2006/relationships/hyperlink" Target="https://www.wynwood.studio/" TargetMode="External"/><Relationship Id="rId861" Type="http://schemas.openxmlformats.org/officeDocument/2006/relationships/hyperlink" Target="https://caplinnews.fiu.edu/guitar-shops-the-guitar-nook-waynes-guitar-world-kendall-conservatory-of-music/" TargetMode="External"/><Relationship Id="rId862" Type="http://schemas.openxmlformats.org/officeDocument/2006/relationships/hyperlink" Target="https://www.facebook.com/TheGuitarNook/" TargetMode="External"/><Relationship Id="rId863" Type="http://schemas.openxmlformats.org/officeDocument/2006/relationships/hyperlink" Target="https://www.linkedin.com/company/the-guitar-nook-inc." TargetMode="External"/><Relationship Id="rId864" Type="http://schemas.openxmlformats.org/officeDocument/2006/relationships/hyperlink" Target="https://www.yelp.com/biz/the-guitar-nook-north-miami-beach" TargetMode="External"/><Relationship Id="rId865" Type="http://schemas.openxmlformats.org/officeDocument/2006/relationships/hyperlink" Target="https://www.yelp.com/biz/the-guitar-nook-north-miami-beach" TargetMode="External"/><Relationship Id="rId866" Type="http://schemas.openxmlformats.org/officeDocument/2006/relationships/hyperlink" Target="https://caplinnews.fiu.edu/guitar-shops-the-guitar-nook-waynes-guitar-world-kendall-conservatory-of-music/" TargetMode="External"/><Relationship Id="rId867" Type="http://schemas.openxmlformats.org/officeDocument/2006/relationships/hyperlink" Target="https://www.facebook.com/KendallConservatoryofMusic/" TargetMode="External"/><Relationship Id="rId868" Type="http://schemas.openxmlformats.org/officeDocument/2006/relationships/hyperlink" Target="https://www.yelp.com/biz/kendall-conservatory-of-music-inc-miami" TargetMode="External"/><Relationship Id="rId869" Type="http://schemas.openxmlformats.org/officeDocument/2006/relationships/hyperlink" Target="https://www.yelp.com/biz/kendall-conservatory-of-music-inc-miami" TargetMode="External"/><Relationship Id="rId870" Type="http://schemas.openxmlformats.org/officeDocument/2006/relationships/hyperlink" Target="https://www.weddingwire.com/biz/big-beat-productions-coral-springs/c9f1ea40b232cad6.html" TargetMode="External"/><Relationship Id="rId871" Type="http://schemas.openxmlformats.org/officeDocument/2006/relationships/hyperlink" Target="https://www.facebook.com/bigbeatproductions/" TargetMode="External"/><Relationship Id="rId872" Type="http://schemas.openxmlformats.org/officeDocument/2006/relationships/hyperlink" Target="https://www.linkedin.com/company/big-beat-productions-inc" TargetMode="External"/><Relationship Id="rId873" Type="http://schemas.openxmlformats.org/officeDocument/2006/relationships/hyperlink" Target="https://www.yelp.com/biz/big-beat-productions-coral-springs" TargetMode="External"/><Relationship Id="rId874" Type="http://schemas.openxmlformats.org/officeDocument/2006/relationships/hyperlink" Target="https://www.weddingwire.com/biz/big-beat-productions-coral-springs/c9f1ea40b232cad6.html" TargetMode="External"/><Relationship Id="rId875" Type="http://schemas.openxmlformats.org/officeDocument/2006/relationships/hyperlink" Target="https://www.cityofdoral.com/Businesses/Local-Discounts/Diamond-Venue-at-Doral" TargetMode="External"/><Relationship Id="rId876" Type="http://schemas.openxmlformats.org/officeDocument/2006/relationships/hyperlink" Target="https://www.facebook.com/diamondvenueatdoral/" TargetMode="External"/><Relationship Id="rId877" Type="http://schemas.openxmlformats.org/officeDocument/2006/relationships/hyperlink" Target="https://www.yelp.com/biz/diamond-venue-doral" TargetMode="External"/><Relationship Id="rId878" Type="http://schemas.openxmlformats.org/officeDocument/2006/relationships/hyperlink" Target="https://www.yelp.com/biz/diamond-venue-doral" TargetMode="External"/><Relationship Id="rId879" Type="http://schemas.openxmlformats.org/officeDocument/2006/relationships/hyperlink" Target="https://www.yelp.com/biz/the-temple-house-miami-beach" TargetMode="External"/><Relationship Id="rId880" Type="http://schemas.openxmlformats.org/officeDocument/2006/relationships/hyperlink" Target="https://www.facebook.com/TheTempleHouse/" TargetMode="External"/><Relationship Id="rId881" Type="http://schemas.openxmlformats.org/officeDocument/2006/relationships/hyperlink" Target="https://www.yelp.com/biz/the-temple-house-miami-beach" TargetMode="External"/><Relationship Id="rId882" Type="http://schemas.openxmlformats.org/officeDocument/2006/relationships/hyperlink" Target="https://www.wedding-spot.com/venue/3621/the-temple-house/" TargetMode="External"/><Relationship Id="rId883" Type="http://schemas.openxmlformats.org/officeDocument/2006/relationships/hyperlink" Target="https://www.yelp.com/biz/ballroom-events-banquet-hall-miami-gardens" TargetMode="External"/><Relationship Id="rId884" Type="http://schemas.openxmlformats.org/officeDocument/2006/relationships/hyperlink" Target="https://www.facebook.com/ballroomeventsbanquethall/" TargetMode="External"/><Relationship Id="rId885" Type="http://schemas.openxmlformats.org/officeDocument/2006/relationships/hyperlink" Target="https://www.yelp.com/biz/ballroom-events-banquet-hall-miami-gardens" TargetMode="External"/><Relationship Id="rId886" Type="http://schemas.openxmlformats.org/officeDocument/2006/relationships/hyperlink" Target="https://ballroomeventsbanquethall.com/" TargetMode="External"/><Relationship Id="rId887" Type="http://schemas.openxmlformats.org/officeDocument/2006/relationships/hyperlink" Target="https://www.yelp.com/biz/the-endowment-banquet-hall-miami-gardens" TargetMode="External"/><Relationship Id="rId888" Type="http://schemas.openxmlformats.org/officeDocument/2006/relationships/hyperlink" Target="https://www.yelp.com/biz/the-endowment-banquet-hall-miami-gardens" TargetMode="External"/><Relationship Id="rId889" Type="http://schemas.openxmlformats.org/officeDocument/2006/relationships/hyperlink" Target="https://www.yelp.com/biz/the-endowment-banquet-hall-miami-gardens" TargetMode="External"/><Relationship Id="rId890" Type="http://schemas.openxmlformats.org/officeDocument/2006/relationships/hyperlink" Target="https://www.fiestapartyrentalmiami.com/" TargetMode="External"/><Relationship Id="rId891" Type="http://schemas.openxmlformats.org/officeDocument/2006/relationships/hyperlink" Target="https://www.yelp.com/biz/fiesta-party-rentals-miami-gardens" TargetMode="External"/><Relationship Id="rId892" Type="http://schemas.openxmlformats.org/officeDocument/2006/relationships/hyperlink" Target="https://www.yellowpages.com/miami-gardens-fl/mip/fiesta-party-rentals-190357" TargetMode="External"/><Relationship Id="rId893" Type="http://schemas.openxmlformats.org/officeDocument/2006/relationships/hyperlink" Target="https://www.elegantparties.com/copy-of-about" TargetMode="External"/><Relationship Id="rId894" Type="http://schemas.openxmlformats.org/officeDocument/2006/relationships/hyperlink" Target="https://www.instagram.com/elegant_parties/" TargetMode="External"/><Relationship Id="rId895" Type="http://schemas.openxmlformats.org/officeDocument/2006/relationships/hyperlink" Target="https://www.yelp.com/biz/elegant-parties-pompano-beach-2" TargetMode="External"/><Relationship Id="rId896" Type="http://schemas.openxmlformats.org/officeDocument/2006/relationships/hyperlink" Target="https://www.yelp.com/biz/elegant-parties-pompano-beach-2" TargetMode="External"/><Relationship Id="rId897" Type="http://schemas.openxmlformats.org/officeDocument/2006/relationships/hyperlink" Target="https://murnorstudio.com/about-us/" TargetMode="External"/><Relationship Id="rId898" Type="http://schemas.openxmlformats.org/officeDocument/2006/relationships/hyperlink" Target="https://www.facebook.com/murnorstudio/" TargetMode="External"/><Relationship Id="rId899" Type="http://schemas.openxmlformats.org/officeDocument/2006/relationships/hyperlink" Target="https://www.yelp.com/biz/murnor-studio-coral-gables" TargetMode="External"/><Relationship Id="rId900" Type="http://schemas.openxmlformats.org/officeDocument/2006/relationships/hyperlink" Target="https://www.superpages.com/coral-gables-fl/bpp/murnor-studio-467203784" TargetMode="External"/><Relationship Id="rId901" Type="http://schemas.openxmlformats.org/officeDocument/2006/relationships/hyperlink" Target="https://www.yelp.com/biz/delio-photo-studio-miami-2" TargetMode="External"/><Relationship Id="rId902" Type="http://schemas.openxmlformats.org/officeDocument/2006/relationships/hyperlink" Target="https://www.facebook.com/deliophotostudio/" TargetMode="External"/><Relationship Id="rId903" Type="http://schemas.openxmlformats.org/officeDocument/2006/relationships/hyperlink" Target="https://www.linkedin.com/company/delio-photo-studio" TargetMode="External"/><Relationship Id="rId904" Type="http://schemas.openxmlformats.org/officeDocument/2006/relationships/hyperlink" Target="https://www.yelp.com/biz/delio-photo-studio-miami-2" TargetMode="External"/><Relationship Id="rId905" Type="http://schemas.openxmlformats.org/officeDocument/2006/relationships/hyperlink" Target="https://www.yelp.com/biz/delio-photo-studio-miami-2" TargetMode="External"/><Relationship Id="rId906" Type="http://schemas.openxmlformats.org/officeDocument/2006/relationships/hyperlink" Target="https://www.yelp.com/biz/ive-been-framed-miami-4" TargetMode="External"/><Relationship Id="rId907" Type="http://schemas.openxmlformats.org/officeDocument/2006/relationships/hyperlink" Target="https://www.yelp.com/biz/ive-been-framed-miami-4" TargetMode="External"/><Relationship Id="rId908" Type="http://schemas.openxmlformats.org/officeDocument/2006/relationships/hyperlink" Target="https://www.superpages.com/miami-fl/bpp/ive-been-framed-5292799" TargetMode="External"/><Relationship Id="rId909" Type="http://schemas.openxmlformats.org/officeDocument/2006/relationships/hyperlink" Target="https://www.frameartofmiami.com/" TargetMode="External"/><Relationship Id="rId910" Type="http://schemas.openxmlformats.org/officeDocument/2006/relationships/hyperlink" Target="https://www.facebook.com/frameartofkendall/" TargetMode="External"/><Relationship Id="rId911" Type="http://schemas.openxmlformats.org/officeDocument/2006/relationships/hyperlink" Target="https://www.yelp.com/biz/frame-art-miami-4" TargetMode="External"/><Relationship Id="rId912" Type="http://schemas.openxmlformats.org/officeDocument/2006/relationships/hyperlink" Target="https://www.yelp.com/biz/frame-art-miami-4" TargetMode="External"/><Relationship Id="rId913" Type="http://schemas.openxmlformats.org/officeDocument/2006/relationships/hyperlink" Target="https://www.yelp.com/biz/e-and-p-printing-miami" TargetMode="External"/><Relationship Id="rId914" Type="http://schemas.openxmlformats.org/officeDocument/2006/relationships/hyperlink" Target="https://www.yelp.com/biz/e-and-p-printing-miami" TargetMode="External"/><Relationship Id="rId915" Type="http://schemas.openxmlformats.org/officeDocument/2006/relationships/hyperlink" Target="https://www.yelp.com/biz/e-and-p-printing-miami" TargetMode="External"/><Relationship Id="rId916" Type="http://schemas.openxmlformats.org/officeDocument/2006/relationships/hyperlink" Target="https://soloprinting.com/who-are-we/" TargetMode="External"/><Relationship Id="rId917" Type="http://schemas.openxmlformats.org/officeDocument/2006/relationships/hyperlink" Target="https://www.linkedin.com/company/solo-printing-company" TargetMode="External"/><Relationship Id="rId918" Type="http://schemas.openxmlformats.org/officeDocument/2006/relationships/hyperlink" Target="https://www.yelp.com/biz/solo-printing-miami" TargetMode="External"/><Relationship Id="rId919" Type="http://schemas.openxmlformats.org/officeDocument/2006/relationships/hyperlink" Target="https://soloprinting.com/contact-soloprinting/" TargetMode="External"/><Relationship Id="rId920" Type="http://schemas.openxmlformats.org/officeDocument/2006/relationships/hyperlink" Target="https://www.firstsign.com/pg/7-About-Us.aspx" TargetMode="External"/><Relationship Id="rId921" Type="http://schemas.openxmlformats.org/officeDocument/2006/relationships/hyperlink" Target="https://www.facebook.com/FirstSignCorp/" TargetMode="External"/><Relationship Id="rId922" Type="http://schemas.openxmlformats.org/officeDocument/2006/relationships/hyperlink" Target="https://www.linkedin.com/company/first-sign-corp" TargetMode="External"/><Relationship Id="rId923" Type="http://schemas.openxmlformats.org/officeDocument/2006/relationships/hyperlink" Target="https://www.yelp.com/biz/first-sign-pompano-beach" TargetMode="External"/><Relationship Id="rId924" Type="http://schemas.openxmlformats.org/officeDocument/2006/relationships/hyperlink" Target="https://www.yelp.com/biz/first-sign-pompano-beach" TargetMode="External"/><Relationship Id="rId925" Type="http://schemas.openxmlformats.org/officeDocument/2006/relationships/hyperlink" Target="https://www.southfloridasigncompany.com/about/" TargetMode="External"/><Relationship Id="rId926" Type="http://schemas.openxmlformats.org/officeDocument/2006/relationships/hyperlink" Target="https://www.facebook.com/southfloridasigncompany/" TargetMode="External"/><Relationship Id="rId927" Type="http://schemas.openxmlformats.org/officeDocument/2006/relationships/hyperlink" Target="https://www.yelp.com/biz/south-florida-sign-pompano-beach" TargetMode="External"/><Relationship Id="rId928" Type="http://schemas.openxmlformats.org/officeDocument/2006/relationships/hyperlink" Target="https://www.southfloridasigncompany.com/contact" TargetMode="External"/><Relationship Id="rId929" Type="http://schemas.openxmlformats.org/officeDocument/2006/relationships/hyperlink" Target="https://www.coralgablesflorist.com/contact-us/" TargetMode="External"/><Relationship Id="rId930" Type="http://schemas.openxmlformats.org/officeDocument/2006/relationships/hyperlink" Target="https://www.facebook.com/p/Coral-Gables-Florist-100067677827539/" TargetMode="External"/><Relationship Id="rId931" Type="http://schemas.openxmlformats.org/officeDocument/2006/relationships/hyperlink" Target="https://www.yelp.com/biz/coral-gables-florist-coral-gables" TargetMode="External"/><Relationship Id="rId932" Type="http://schemas.openxmlformats.org/officeDocument/2006/relationships/hyperlink" Target="https://www.coralgablesflorist.com/contact-us/" TargetMode="External"/><Relationship Id="rId933" Type="http://schemas.openxmlformats.org/officeDocument/2006/relationships/hyperlink" Target="https://www.darbysflorist.com/about_us.php" TargetMode="External"/><Relationship Id="rId934" Type="http://schemas.openxmlformats.org/officeDocument/2006/relationships/hyperlink" Target="https://www.facebook.com/DarbysFlorist/" TargetMode="External"/><Relationship Id="rId935" Type="http://schemas.openxmlformats.org/officeDocument/2006/relationships/hyperlink" Target="https://www.yelp.com/biz/darbys-florist-coral-springs" TargetMode="External"/><Relationship Id="rId936" Type="http://schemas.openxmlformats.org/officeDocument/2006/relationships/hyperlink" Target="https://www.flowershopnetwork.com/floristProfile/158764" TargetMode="External"/><Relationship Id="rId937" Type="http://schemas.openxmlformats.org/officeDocument/2006/relationships/hyperlink" Target="https://hooraysfromhollywood.com/pages/about-us" TargetMode="External"/><Relationship Id="rId938" Type="http://schemas.openxmlformats.org/officeDocument/2006/relationships/hyperlink" Target="https://www.yelp.com/biz/hoorays-from-hollywood-hollywood" TargetMode="External"/><Relationship Id="rId939" Type="http://schemas.openxmlformats.org/officeDocument/2006/relationships/hyperlink" Target="https://www.flowershopnetwork.com/floristProfile/282071" TargetMode="External"/><Relationship Id="rId940" Type="http://schemas.openxmlformats.org/officeDocument/2006/relationships/hyperlink" Target="https://www.joansflorist.net/about-us" TargetMode="External"/><Relationship Id="rId941" Type="http://schemas.openxmlformats.org/officeDocument/2006/relationships/hyperlink" Target="https://www.facebook.com/JoansFloristHollywood/" TargetMode="External"/><Relationship Id="rId942" Type="http://schemas.openxmlformats.org/officeDocument/2006/relationships/hyperlink" Target="https://www.yelp.com/biz/joans-florist-hollywood" TargetMode="External"/><Relationship Id="rId943" Type="http://schemas.openxmlformats.org/officeDocument/2006/relationships/hyperlink" Target="https://www.superpages.com/hollywood-fl/bpp/joans-florist-18524615" TargetMode="External"/><Relationship Id="rId944" Type="http://schemas.openxmlformats.org/officeDocument/2006/relationships/hyperlink" Target="https://www.tattoosbylou.com/post/2015/05/01/shop-history-tattoos-by-lou-south-beach" TargetMode="External"/><Relationship Id="rId945" Type="http://schemas.openxmlformats.org/officeDocument/2006/relationships/hyperlink" Target="https://www.instagram.com/tattoosbyloumiami/" TargetMode="External"/><Relationship Id="rId946" Type="http://schemas.openxmlformats.org/officeDocument/2006/relationships/hyperlink" Target="https://www.yelp.com/biz/tattoos-by-lou-north-miami-miami-2" TargetMode="External"/><Relationship Id="rId947" Type="http://schemas.openxmlformats.org/officeDocument/2006/relationships/hyperlink" Target="https://www.yelp.com/biz/tattoos-by-lou-north-miami-miami-2" TargetMode="External"/><Relationship Id="rId948" Type="http://schemas.openxmlformats.org/officeDocument/2006/relationships/hyperlink" Target="https://ochoplacastattoo.com/" TargetMode="External"/><Relationship Id="rId949" Type="http://schemas.openxmlformats.org/officeDocument/2006/relationships/hyperlink" Target="https://www.facebook.com/ochoplacas/" TargetMode="External"/><Relationship Id="rId950" Type="http://schemas.openxmlformats.org/officeDocument/2006/relationships/hyperlink" Target="https://www.yelp.com/biz/ocho-placas-tattoos-miami" TargetMode="External"/><Relationship Id="rId951" Type="http://schemas.openxmlformats.org/officeDocument/2006/relationships/hyperlink" Target="https://www.yelp.com/biz/ocho-placas-tattoos-miami" TargetMode="External"/><Relationship Id="rId952" Type="http://schemas.openxmlformats.org/officeDocument/2006/relationships/hyperlink" Target="https://search.sunbiz.org/Inquiry/CorporationSearch/ByName" TargetMode="External"/><Relationship Id="rId953" Type="http://schemas.openxmlformats.org/officeDocument/2006/relationships/hyperlink" Target="https://stores-goods.com/Florida/Miami/Little_Havana_Tattoo_Studio" TargetMode="External"/><Relationship Id="rId954" Type="http://schemas.openxmlformats.org/officeDocument/2006/relationships/hyperlink" Target="https://www.yelp.com/biz/the-tattoo-gallery-fort-lauderdale" TargetMode="External"/><Relationship Id="rId955" Type="http://schemas.openxmlformats.org/officeDocument/2006/relationships/hyperlink" Target="https://www.facebook.com/TattooGalleryFTL/" TargetMode="External"/><Relationship Id="rId956" Type="http://schemas.openxmlformats.org/officeDocument/2006/relationships/hyperlink" Target="https://www.yelp.com/biz/the-tattoo-gallery-fort-lauderdale" TargetMode="External"/><Relationship Id="rId957" Type="http://schemas.openxmlformats.org/officeDocument/2006/relationships/hyperlink" Target="https://local.yahoo.com/info-14348099-the-tattoo-gallery-fort-lauderdale/" TargetMode="External"/><Relationship Id="rId958" Type="http://schemas.openxmlformats.org/officeDocument/2006/relationships/hyperlink" Target="https://www.stefanostattoofl.com/" TargetMode="External"/><Relationship Id="rId959" Type="http://schemas.openxmlformats.org/officeDocument/2006/relationships/hyperlink" Target="https://www.facebook.com/StefanosTattooStudioFL/" TargetMode="External"/><Relationship Id="rId960" Type="http://schemas.openxmlformats.org/officeDocument/2006/relationships/hyperlink" Target="https://www.instagram.com/stefanostattoofl/" TargetMode="External"/><Relationship Id="rId961" Type="http://schemas.openxmlformats.org/officeDocument/2006/relationships/hyperlink" Target="https://www.yelp.com/biz/stefanos-tattoo-studio-fort-lauderdale" TargetMode="External"/><Relationship Id="rId962" Type="http://schemas.openxmlformats.org/officeDocument/2006/relationships/hyperlink" Target="https://www.stefanostattoofl.com/" TargetMode="External"/><Relationship Id="rId96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census.gov/quickfacts/fact/table/miamicityflorida/PST045224" TargetMode="External"/><Relationship Id="rId2" Type="http://schemas.openxmlformats.org/officeDocument/2006/relationships/hyperlink" Target="https://datausa.io/profile/geo/hialeah-fl/" TargetMode="External"/><Relationship Id="rId3" Type="http://schemas.openxmlformats.org/officeDocument/2006/relationships/hyperlink" Target="https://www.census.gov/quickfacts/fact/table/doralcityflorida/PST045225" TargetMode="External"/><Relationship Id="rId4" Type="http://schemas.openxmlformats.org/officeDocument/2006/relationships/hyperlink" Target="https://www.townofmedley.com/about-us" TargetMode="External"/><Relationship Id="rId5" Type="http://schemas.openxmlformats.org/officeDocument/2006/relationships/hyperlink" Target="https://census.gov/quickfacts/fact/table/miamibeachcityflorida/POP060210" TargetMode="External"/><Relationship Id="rId6" Type="http://schemas.openxmlformats.org/officeDocument/2006/relationships/hyperlink" Target="https://www.census.gov/quickfacts/fact/table/coralgablescityflorida/PST045224" TargetMode="External"/><Relationship Id="rId7" Type="http://schemas.openxmlformats.org/officeDocument/2006/relationships/hyperlink" Target="https://en.wikipedia.org/wiki/Kendall,_Florida" TargetMode="External"/><Relationship Id="rId8" Type="http://schemas.openxmlformats.org/officeDocument/2006/relationships/hyperlink" Target="https://www.census.gov/quickfacts/fact/table/miamigardenscityflorida/POP060210" TargetMode="External"/><Relationship Id="rId9" Type="http://schemas.openxmlformats.org/officeDocument/2006/relationships/hyperlink" Target="https://census.gov/quickfacts/fact/table/homesteadcityflorida/PST120223" TargetMode="External"/><Relationship Id="rId10" Type="http://schemas.openxmlformats.org/officeDocument/2006/relationships/hyperlink" Target="https://www.census.gov/quickfacts/fact/table/fortlauderdalecityflorida/PST045225" TargetMode="External"/><Relationship Id="rId11" Type="http://schemas.openxmlformats.org/officeDocument/2006/relationships/hyperlink" Target="https://www.census.gov/quickfacts/fact/table/hollywoodcityflorida/PST045222" TargetMode="External"/><Relationship Id="rId12" Type="http://schemas.openxmlformats.org/officeDocument/2006/relationships/hyperlink" Target="https://www.census.gov/quickfacts/fact/table/pembrokepinescityflorida/SBO010222" TargetMode="External"/><Relationship Id="rId13" Type="http://schemas.openxmlformats.org/officeDocument/2006/relationships/hyperlink" Target="https://www.census.gov/quickfacts/fact/table/sunrisecityflorida/PST045222" TargetMode="External"/><Relationship Id="rId14" Type="http://schemas.openxmlformats.org/officeDocument/2006/relationships/hyperlink" Target="https://www.census.gov/quickfacts/fact/table/plantationcityflorida/PST045225" TargetMode="External"/><Relationship Id="rId15" Type="http://schemas.openxmlformats.org/officeDocument/2006/relationships/hyperlink" Target="https://www.miamidadematters.org/indicators/index/view?indicatorId=6371&amp;localeId=414" TargetMode="External"/><Relationship Id="rId16" Type="http://schemas.openxmlformats.org/officeDocument/2006/relationships/hyperlink" Target="https://www.census.gov/quickfacts/fact/table/browardcountyflorida/PST045224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clutch.co/press-releases/smb-websites-2025" TargetMode="External"/><Relationship Id="rId2" Type="http://schemas.openxmlformats.org/officeDocument/2006/relationships/hyperlink" Target="https://www.prnewswire.com/news-releases/27-of-small-businesses-still-dont-have-a-website-in-2022-301542302.html" TargetMode="External"/><Relationship Id="rId3" Type="http://schemas.openxmlformats.org/officeDocument/2006/relationships/hyperlink" Target="https://clutch.co/press-releases/smb-websites-2025" TargetMode="External"/><Relationship Id="rId4" Type="http://schemas.openxmlformats.org/officeDocument/2006/relationships/hyperlink" Target="https://localiq.com/blog/small-business-marketing-trends-report-2026/" TargetMode="External"/><Relationship Id="rId5" Type="http://schemas.openxmlformats.org/officeDocument/2006/relationships/hyperlink" Target="https://localiq.com/blog/small-business-marketing-trends-report-2026/" TargetMode="External"/><Relationship Id="rId6" Type="http://schemas.openxmlformats.org/officeDocument/2006/relationships/hyperlink" Target="https://www.uschamber.com/technology/artificial-intelligence/u-s-chambers-latest-empowering-small-business-report-shows-majority-of-businesses-in-all-50-states-are-embracing-ai" TargetMode="External"/><Relationship Id="rId7" Type="http://schemas.openxmlformats.org/officeDocument/2006/relationships/hyperlink" Target="https://www.businessobserverfl.com/news/2025/may/19/florida-new-business-formations/" TargetMode="External"/><Relationship Id="rId8" Type="http://schemas.openxmlformats.org/officeDocument/2006/relationships/hyperlink" Target="https://www.businessobserverfl.com/news/2025/may/19/florida-new-business-formations/" TargetMode="External"/><Relationship Id="rId9" Type="http://schemas.openxmlformats.org/officeDocument/2006/relationships/hyperlink" Target="https://www.businessobserverfl.com/news/2025/may/19/florida-new-business-formations/" TargetMode="External"/><Relationship Id="rId10" Type="http://schemas.openxmlformats.org/officeDocument/2006/relationships/hyperlink" Target="https://advocacy.sba.gov/wp-content/uploads/2025/06/Florida_2025-State-Profile.pdf" TargetMode="External"/><Relationship Id="rId11" Type="http://schemas.openxmlformats.org/officeDocument/2006/relationships/hyperlink" Target="https://dos.fl.gov/sunbiz/" TargetMode="External"/><Relationship Id="rId12" Type="http://schemas.openxmlformats.org/officeDocument/2006/relationships/hyperlink" Target="https://dos.fl.gov/sunbiz/about-us/yearly-statistics/" TargetMode="External"/><Relationship Id="rId13" Type="http://schemas.openxmlformats.org/officeDocument/2006/relationships/hyperlink" Target="https://www.adatitleiii.com/2026/02/ada-title-iii-federal-lawsuit-filings-fall-slightly-to-8667-in-2025/" TargetMode="External"/><Relationship Id="rId14" Type="http://schemas.openxmlformats.org/officeDocument/2006/relationships/hyperlink" Target="https://blog.usablenet.com/ada-web-lawsuit-trends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wordstream.com/blog/2025-google-ads-benchmarks" TargetMode="External"/><Relationship Id="rId2" Type="http://schemas.openxmlformats.org/officeDocument/2006/relationships/hyperlink" Target="https://www.wordstream.com/blog/2026-google-ads-benchmarks" TargetMode="External"/><Relationship Id="rId3" Type="http://schemas.openxmlformats.org/officeDocument/2006/relationships/hyperlink" Target="https://www.wordstream.com/blog/2026-google-ads-benchmarks" TargetMode="External"/><Relationship Id="rId4" Type="http://schemas.openxmlformats.org/officeDocument/2006/relationships/hyperlink" Target="https://www.wordstream.com/blog/2025-google-ads-benchmarks" TargetMode="External"/><Relationship Id="rId5" Type="http://schemas.openxmlformats.org/officeDocument/2006/relationships/hyperlink" Target="https://localiq.com/blog/home-services-search-advertising-benchmarks/" TargetMode="External"/><Relationship Id="rId6" Type="http://schemas.openxmlformats.org/officeDocument/2006/relationships/hyperlink" Target="https://localiq.com/blog/home-services-search-advertising-benchmarks/" TargetMode="External"/><Relationship Id="rId7" Type="http://schemas.openxmlformats.org/officeDocument/2006/relationships/hyperlink" Target="https://localiq.com/blog/home-services-search-advertising-benchmarks/" TargetMode="External"/><Relationship Id="rId8" Type="http://schemas.openxmlformats.org/officeDocument/2006/relationships/hyperlink" Target="https://localiq.com/blog/home-services-search-advertising-benchmarks/" TargetMode="External"/><Relationship Id="rId9" Type="http://schemas.openxmlformats.org/officeDocument/2006/relationships/hyperlink" Target="https://www.wordstream.com/blog/2025-google-ads-benchmarks" TargetMode="External"/><Relationship Id="rId10" Type="http://schemas.openxmlformats.org/officeDocument/2006/relationships/hyperlink" Target="https://www.wordstream.com/blog/2025-google-ads-benchmarks" TargetMode="External"/><Relationship Id="rId11" Type="http://schemas.openxmlformats.org/officeDocument/2006/relationships/hyperlink" Target="https://www.wordstream.com/blog/2025-google-ads-benchmarks" TargetMode="External"/><Relationship Id="rId12" Type="http://schemas.openxmlformats.org/officeDocument/2006/relationships/hyperlink" Target="https://www.wordstream.com/blog/2025-google-ads-benchmarks" TargetMode="External"/><Relationship Id="rId13" Type="http://schemas.openxmlformats.org/officeDocument/2006/relationships/hyperlink" Target="https://ppcchief.com/google-ads-cost/dental/miami" TargetMode="External"/><Relationship Id="rId14" Type="http://schemas.openxmlformats.org/officeDocument/2006/relationships/hyperlink" Target="https://custom.legal/practice-areas/personal-injury-law-firm-marketing/cost-per-click-benchmarks-for-personal-injury/" TargetMode="External"/><Relationship Id="rId15" Type="http://schemas.openxmlformats.org/officeDocument/2006/relationships/hyperlink" Target="https://www.greatmarketing.ai/blog/spanish-speaking-personal-injury-lawyer-marketing" TargetMode="External"/><Relationship Id="rId16" Type="http://schemas.openxmlformats.org/officeDocument/2006/relationships/hyperlink" Target="https://tamer.marketing/blog/web-design-cost-miami/" TargetMode="External"/><Relationship Id="rId17" Type="http://schemas.openxmlformats.org/officeDocument/2006/relationships/hyperlink" Target="https://startupstarz.com/how-much-does-a-website-cost-for-a-small-business-in-miami-2026-pricing-guide/" TargetMode="External"/><Relationship Id="rId18" Type="http://schemas.openxmlformats.org/officeDocument/2006/relationships/hyperlink" Target="https://tamer.marketing/blog/seo-cost-miami/" TargetMode="External"/><Relationship Id="rId19" Type="http://schemas.openxmlformats.org/officeDocument/2006/relationships/hyperlink" Target="https://onceonceagency.com/social-media-management-cost-miami/" TargetMode="External"/><Relationship Id="rId20" Type="http://schemas.openxmlformats.org/officeDocument/2006/relationships/hyperlink" Target="https://www.2pointagency.com/glossary/pricing-for-ppc-management-services-in-miami/" TargetMode="External"/><Relationship Id="rId21" Type="http://schemas.openxmlformats.org/officeDocument/2006/relationships/hyperlink" Target="https://www.americaneagle.com/insights/blog/post/how-much-does-it-cost-to-advertise-on-google-ads-in-2025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dos.fl.gov/sunbiz/start-business/efile/fl-fictitious-name-registration/" TargetMode="External"/><Relationship Id="rId2" Type="http://schemas.openxmlformats.org/officeDocument/2006/relationships/hyperlink" Target="https://search.sunbiz.org/" TargetMode="External"/><Relationship Id="rId3" Type="http://schemas.openxmlformats.org/officeDocument/2006/relationships/hyperlink" Target="https://dos.fl.gov/sunbiz/manage-business/efile/annual-report/" TargetMode="External"/><Relationship Id="rId4" Type="http://schemas.openxmlformats.org/officeDocument/2006/relationships/hyperlink" Target="https://dos.fl.gov/sunbiz/search/" TargetMode="External"/><Relationship Id="rId5" Type="http://schemas.openxmlformats.org/officeDocument/2006/relationships/hyperlink" Target="https://dos.fl.gov/sunbiz/other-services/data-downloads/" TargetMode="External"/><Relationship Id="rId6" Type="http://schemas.openxmlformats.org/officeDocument/2006/relationships/hyperlink" Target="https://www2.myfloridalicense.com/services-requiring-a-dbpr-license/" TargetMode="External"/><Relationship Id="rId7" Type="http://schemas.openxmlformats.org/officeDocument/2006/relationships/hyperlink" Target="https://www.mdctaxcollector.gov/services/local-business-tax-receipt" TargetMode="External"/><Relationship Id="rId8" Type="http://schemas.openxmlformats.org/officeDocument/2006/relationships/hyperlink" Target="https://browardtax.org/business-tax-receipt/" TargetMode="External"/><Relationship Id="rId9" Type="http://schemas.openxmlformats.org/officeDocument/2006/relationships/hyperlink" Target="https://www.fortlauderdale.gov/Government/Departments/Community-Services/Business-Tax" TargetMode="External"/><Relationship Id="rId10" Type="http://schemas.openxmlformats.org/officeDocument/2006/relationships/hyperlink" Target="https://www.miamibeachfl.gov/city-hall/finance/business-tax-receipts-btr/" TargetMode="External"/><Relationship Id="rId11" Type="http://schemas.openxmlformats.org/officeDocument/2006/relationships/hyperlink" Target="https://www.townofmedley.com/local-business-tax-receipts" TargetMode="External"/><Relationship Id="rId12" Type="http://schemas.openxmlformats.org/officeDocument/2006/relationships/hyperlink" Target="https://www.flsenate.gov/Committees/BillSummaries/2023/html/761" TargetMode="External"/><Relationship Id="rId13" Type="http://schemas.openxmlformats.org/officeDocument/2006/relationships/hyperlink" Target="https://www.fdacs.gov/Consumer-Resources/Consumer-Rights-and-Responsibilities/Telemarketing" TargetMode="External"/><Relationship Id="rId14" Type="http://schemas.openxmlformats.org/officeDocument/2006/relationships/hyperlink" Target="https://www.fdacs.gov/Business-Services/Florida-Do-Not-Call" TargetMode="External"/><Relationship Id="rId15" Type="http://schemas.openxmlformats.org/officeDocument/2006/relationships/hyperlink" Target="https://www.ftc.gov/business-guidance/resources/can-spam-act-compliance-guide-business" TargetMode="External"/><Relationship Id="rId16" Type="http://schemas.openxmlformats.org/officeDocument/2006/relationships/hyperlink" Target="https://privacylawmap.com/states/florida" TargetMode="External"/><Relationship Id="rId17" Type="http://schemas.openxmlformats.org/officeDocument/2006/relationships/hyperlink" Target="https://www.adatitleiii.com/2026/02/ada-title-iii-federal-lawsuit-filings-fall-slightly-to-8667-in-2025/" TargetMode="External"/><Relationship Id="rId18" Type="http://schemas.openxmlformats.org/officeDocument/2006/relationships/hyperlink" Target="https://opendata.miamidade.gov/datasets/local-business-tax-view" TargetMode="External"/><Relationship Id="rId19" Type="http://schemas.openxmlformats.org/officeDocument/2006/relationships/hyperlink" Target="https://gis-mdc.opendata.arcgis.com/datasets/1952228619b0463cb6f9f7dc839bff88" TargetMode="External"/><Relationship Id="rId20" Type="http://schemas.openxmlformats.org/officeDocument/2006/relationships/hyperlink" Target="https://geohub-bcgis.opendata.arcgis.com/datasets/business-tax-records/about" TargetMode="External"/><Relationship Id="rId21" Type="http://schemas.openxmlformats.org/officeDocument/2006/relationships/hyperlink" Target="https://dos.fl.gov/sunbiz/other-services/data-downloads/" TargetMode="External"/><Relationship Id="rId22" Type="http://schemas.openxmlformats.org/officeDocument/2006/relationships/hyperlink" Target="https://www2.myfloridalicens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  <c r="G4" s="3" t="s">
        <v>4</v>
      </c>
    </row>
    <row r="5" customFormat="false" ht="17.35" hidden="false" customHeight="false" outlineLevel="0" collapsed="false">
      <c r="A5" s="4" t="s">
        <v>5</v>
      </c>
      <c r="B5" s="5" t="n">
        <f aca="false">COUNTA(Prospectos!B5:B289)</f>
        <v>285</v>
      </c>
      <c r="D5" s="6" t="s">
        <v>6</v>
      </c>
      <c r="E5" s="7" t="n">
        <f aca="false">COUNTIF(Prospectos!$E$5:$E$289,D5)</f>
        <v>201</v>
      </c>
      <c r="G5" s="6" t="s">
        <v>7</v>
      </c>
      <c r="H5" s="8" t="n">
        <v>98394</v>
      </c>
    </row>
    <row r="6" customFormat="false" ht="17.35" hidden="false" customHeight="false" outlineLevel="0" collapsed="false">
      <c r="A6" s="4" t="s">
        <v>8</v>
      </c>
      <c r="B6" s="5" t="n">
        <f aca="false">COUNTIF(Prospectos!$J$5:$J$289,"Sin sitio web")</f>
        <v>79</v>
      </c>
      <c r="D6" s="6" t="s">
        <v>9</v>
      </c>
      <c r="E6" s="7" t="n">
        <f aca="false">COUNTIF(Prospectos!$E$5:$E$289,D6)</f>
        <v>84</v>
      </c>
      <c r="G6" s="6" t="s">
        <v>10</v>
      </c>
      <c r="H6" s="8" t="n">
        <v>67274</v>
      </c>
    </row>
    <row r="7" customFormat="false" ht="17.35" hidden="false" customHeight="false" outlineLevel="0" collapsed="false">
      <c r="A7" s="4" t="s">
        <v>11</v>
      </c>
      <c r="B7" s="5" t="n">
        <f aca="false">COUNTIF(Prospectos!$J$5:$J$289,"Sitio obsoleto")+COUNTIF(Prospectos!$J$5:$J$289,"Presencia desordenada")</f>
        <v>83</v>
      </c>
      <c r="G7" s="6" t="s">
        <v>12</v>
      </c>
      <c r="H7" s="8" t="n">
        <v>634000</v>
      </c>
    </row>
    <row r="8" customFormat="false" ht="17.35" hidden="false" customHeight="false" outlineLevel="0" collapsed="false">
      <c r="A8" s="4" t="s">
        <v>13</v>
      </c>
      <c r="B8" s="9" t="n">
        <f aca="false">IF(B5=0,0,(B6+B7)/B5)</f>
        <v>0.568421052631579</v>
      </c>
      <c r="D8" s="6" t="s">
        <v>14</v>
      </c>
      <c r="E8" s="7" t="n">
        <f aca="false">COUNTIFS(Prospectos!$E$5:$E$289,"Miami-Dade",Prospectos!$J$5:$J$289,"Sin sitio web")+COUNTIFS(Prospectos!$E$5:$E$289,"Miami-Dade",Prospectos!$J$5:$J$289,"Sitio obsoleto")+COUNTIFS(Prospectos!$E$5:$E$289,"Miami-Dade",Prospectos!$J$5:$J$289,"Presencia desordenada")</f>
        <v>114</v>
      </c>
      <c r="G8" s="6" t="s">
        <v>15</v>
      </c>
      <c r="H8" s="10" t="n">
        <v>0.17</v>
      </c>
    </row>
    <row r="9" customFormat="false" ht="17.35" hidden="false" customHeight="false" outlineLevel="0" collapsed="false">
      <c r="A9" s="4" t="s">
        <v>16</v>
      </c>
      <c r="B9" s="5" t="n">
        <f aca="false">COUNTIF(Prospectos!$U$5:$U$289,"A")</f>
        <v>38</v>
      </c>
      <c r="D9" s="6" t="s">
        <v>17</v>
      </c>
      <c r="E9" s="7" t="n">
        <f aca="false">COUNTIFS(Prospectos!$E$5:$E$289,"Broward",Prospectos!$J$5:$J$289,"Sin sitio web")+COUNTIFS(Prospectos!$E$5:$E$289,"Broward",Prospectos!$J$5:$J$289,"Sitio obsoleto")+COUNTIFS(Prospectos!$E$5:$E$289,"Broward",Prospectos!$J$5:$J$289,"Presencia desordenada")</f>
        <v>48</v>
      </c>
      <c r="G9" s="6" t="s">
        <v>18</v>
      </c>
      <c r="H9" s="8" t="n">
        <v>1823</v>
      </c>
    </row>
    <row r="10" customFormat="false" ht="17.35" hidden="false" customHeight="false" outlineLevel="0" collapsed="false">
      <c r="A10" s="4" t="s">
        <v>19</v>
      </c>
      <c r="B10" s="5" t="n">
        <f aca="false">COUNTIF(Prospectos!$J$5:$J$289,"No verificado")</f>
        <v>18</v>
      </c>
      <c r="G10" s="6" t="s">
        <v>20</v>
      </c>
      <c r="H10" s="11" t="n">
        <v>5.26</v>
      </c>
    </row>
    <row r="13" customFormat="false" ht="15" hidden="false" customHeight="false" outlineLevel="0" collapsed="false">
      <c r="A13" s="3" t="s">
        <v>21</v>
      </c>
    </row>
    <row r="14" customFormat="false" ht="30" hidden="false" customHeight="true" outlineLevel="0" collapsed="false">
      <c r="A14" s="12" t="s">
        <v>22</v>
      </c>
      <c r="B14" s="12"/>
      <c r="C14" s="12"/>
      <c r="D14" s="12"/>
      <c r="E14" s="12"/>
      <c r="F14" s="12"/>
      <c r="G14" s="12"/>
      <c r="H14" s="12"/>
    </row>
    <row r="15" customFormat="false" ht="30" hidden="false" customHeight="true" outlineLevel="0" collapsed="false">
      <c r="A15" s="12" t="s">
        <v>23</v>
      </c>
      <c r="B15" s="12"/>
      <c r="C15" s="12"/>
      <c r="D15" s="12"/>
      <c r="E15" s="12"/>
      <c r="F15" s="12"/>
      <c r="G15" s="12"/>
      <c r="H15" s="12"/>
    </row>
    <row r="16" customFormat="false" ht="30" hidden="false" customHeight="true" outlineLevel="0" collapsed="false">
      <c r="A16" s="12" t="s">
        <v>24</v>
      </c>
      <c r="B16" s="12"/>
      <c r="C16" s="12"/>
      <c r="D16" s="12"/>
      <c r="E16" s="12"/>
      <c r="F16" s="12"/>
      <c r="G16" s="12"/>
      <c r="H16" s="12"/>
    </row>
    <row r="17" customFormat="false" ht="30" hidden="false" customHeight="true" outlineLevel="0" collapsed="false">
      <c r="A17" s="12" t="s">
        <v>25</v>
      </c>
      <c r="B17" s="12"/>
      <c r="C17" s="12"/>
      <c r="D17" s="12"/>
      <c r="E17" s="12"/>
      <c r="F17" s="12"/>
      <c r="G17" s="12"/>
      <c r="H17" s="12"/>
    </row>
    <row r="18" customFormat="false" ht="30" hidden="false" customHeight="true" outlineLevel="0" collapsed="false">
      <c r="A18" s="12" t="s">
        <v>26</v>
      </c>
      <c r="B18" s="12"/>
      <c r="C18" s="12"/>
      <c r="D18" s="12"/>
      <c r="E18" s="12"/>
      <c r="F18" s="12"/>
      <c r="G18" s="12"/>
      <c r="H18" s="12"/>
    </row>
    <row r="19" customFormat="false" ht="30" hidden="false" customHeight="true" outlineLevel="0" collapsed="false">
      <c r="A19" s="12" t="s">
        <v>27</v>
      </c>
      <c r="B19" s="12"/>
      <c r="C19" s="12"/>
      <c r="D19" s="12"/>
      <c r="E19" s="12"/>
      <c r="F19" s="12"/>
      <c r="G19" s="12"/>
      <c r="H19" s="12"/>
    </row>
    <row r="20" customFormat="false" ht="30" hidden="false" customHeight="true" outlineLevel="0" collapsed="false">
      <c r="A20" s="12" t="s">
        <v>28</v>
      </c>
      <c r="B20" s="12"/>
      <c r="C20" s="12"/>
      <c r="D20" s="12"/>
      <c r="E20" s="12"/>
      <c r="F20" s="12"/>
      <c r="G20" s="12"/>
      <c r="H20" s="12"/>
    </row>
    <row r="22" customFormat="false" ht="15" hidden="false" customHeight="false" outlineLevel="0" collapsed="false">
      <c r="A22" s="2" t="s">
        <v>29</v>
      </c>
    </row>
  </sheetData>
  <mergeCells count="7">
    <mergeCell ref="A14:H14"/>
    <mergeCell ref="A15:H15"/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30"/>
    <col collapsed="false" customWidth="true" hidden="false" outlineLevel="0" max="9" min="9" style="0" width="13"/>
    <col collapsed="false" customWidth="true" hidden="false" outlineLevel="0" max="10" min="10" style="0" width="20"/>
    <col collapsed="false" customWidth="true" hidden="false" outlineLevel="0" max="11" min="11" style="0" width="22"/>
    <col collapsed="false" customWidth="true" hidden="false" outlineLevel="0" max="12" min="12" style="0" width="11"/>
    <col collapsed="false" customWidth="true" hidden="false" outlineLevel="0" max="13" min="13" style="0" width="48"/>
    <col collapsed="false" customWidth="true" hidden="false" outlineLevel="0" max="14" min="14" style="0" width="40"/>
    <col collapsed="false" customWidth="true" hidden="false" outlineLevel="0" max="16" min="15" style="0" width="10"/>
    <col collapsed="false" customWidth="true" hidden="false" outlineLevel="0" max="20" min="17" style="0" width="8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26"/>
    <col collapsed="false" customWidth="true" hidden="false" outlineLevel="0" max="24" min="24" style="0" width="36"/>
    <col collapsed="false" customWidth="true" hidden="false" outlineLevel="0" max="25" min="25" style="0" width="16"/>
    <col collapsed="false" customWidth="true" hidden="false" outlineLevel="0" max="26" min="26" style="0" width="28"/>
    <col collapsed="false" customWidth="true" hidden="false" outlineLevel="0" max="30" min="27" style="0" width="30"/>
    <col collapsed="false" customWidth="true" hidden="false" outlineLevel="0" max="31" min="31" style="0" width="36"/>
    <col collapsed="false" customWidth="true" hidden="false" outlineLevel="0" max="32" min="32" style="0" width="18"/>
    <col collapsed="false" customWidth="true" hidden="false" outlineLevel="0" max="33" min="33" style="0" width="40"/>
    <col collapsed="false" customWidth="true" hidden="false" outlineLevel="0" max="34" min="34" style="0" width="30"/>
  </cols>
  <sheetData>
    <row r="1" customFormat="false" ht="22.0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0" hidden="false" customHeight="true" outlineLevel="0" collapsed="false">
      <c r="A4" s="13" t="s">
        <v>32</v>
      </c>
      <c r="B4" s="13" t="s">
        <v>33</v>
      </c>
      <c r="C4" s="13" t="s">
        <v>34</v>
      </c>
      <c r="D4" s="13" t="s">
        <v>35</v>
      </c>
      <c r="E4" s="13" t="s">
        <v>36</v>
      </c>
      <c r="F4" s="13" t="s">
        <v>37</v>
      </c>
      <c r="G4" s="13" t="s">
        <v>38</v>
      </c>
      <c r="H4" s="13" t="s">
        <v>39</v>
      </c>
      <c r="I4" s="13" t="s">
        <v>40</v>
      </c>
      <c r="J4" s="13" t="s">
        <v>41</v>
      </c>
      <c r="K4" s="13" t="s">
        <v>42</v>
      </c>
      <c r="L4" s="13" t="s">
        <v>43</v>
      </c>
      <c r="M4" s="13" t="s">
        <v>44</v>
      </c>
      <c r="N4" s="13" t="s">
        <v>45</v>
      </c>
      <c r="O4" s="13" t="s">
        <v>46</v>
      </c>
      <c r="P4" s="13" t="s">
        <v>47</v>
      </c>
      <c r="Q4" s="13" t="s">
        <v>48</v>
      </c>
      <c r="R4" s="13" t="s">
        <v>49</v>
      </c>
      <c r="S4" s="13" t="s">
        <v>50</v>
      </c>
      <c r="T4" s="13" t="s">
        <v>51</v>
      </c>
      <c r="U4" s="13" t="s">
        <v>52</v>
      </c>
      <c r="V4" s="13" t="s">
        <v>53</v>
      </c>
      <c r="W4" s="13" t="s">
        <v>54</v>
      </c>
      <c r="X4" s="13" t="s">
        <v>55</v>
      </c>
      <c r="Y4" s="13" t="s">
        <v>56</v>
      </c>
      <c r="Z4" s="13" t="s">
        <v>57</v>
      </c>
      <c r="AA4" s="13" t="s">
        <v>58</v>
      </c>
      <c r="AB4" s="13" t="s">
        <v>59</v>
      </c>
      <c r="AC4" s="13" t="s">
        <v>60</v>
      </c>
      <c r="AD4" s="13" t="s">
        <v>61</v>
      </c>
      <c r="AE4" s="13" t="s">
        <v>62</v>
      </c>
      <c r="AF4" s="13" t="s">
        <v>63</v>
      </c>
      <c r="AG4" s="13" t="s">
        <v>64</v>
      </c>
      <c r="AH4" s="13" t="s">
        <v>65</v>
      </c>
    </row>
    <row r="5" customFormat="false" ht="23.85" hidden="false" customHeight="false" outlineLevel="0" collapsed="false">
      <c r="A5" s="14" t="s">
        <v>66</v>
      </c>
      <c r="B5" s="14" t="s">
        <v>67</v>
      </c>
      <c r="C5" s="14" t="s">
        <v>68</v>
      </c>
      <c r="D5" s="14"/>
      <c r="E5" s="14" t="s">
        <v>6</v>
      </c>
      <c r="F5" s="14" t="s">
        <v>69</v>
      </c>
      <c r="G5" s="15" t="s">
        <v>70</v>
      </c>
      <c r="H5" s="14" t="s">
        <v>71</v>
      </c>
      <c r="I5" s="14" t="s">
        <v>72</v>
      </c>
      <c r="J5" s="14" t="s">
        <v>8</v>
      </c>
      <c r="K5" s="14" t="s">
        <v>73</v>
      </c>
      <c r="L5" s="15" t="s">
        <v>74</v>
      </c>
      <c r="M5" s="14" t="s">
        <v>75</v>
      </c>
      <c r="N5" s="16" t="s">
        <v>76</v>
      </c>
      <c r="O5" s="15" t="n">
        <v>25</v>
      </c>
      <c r="P5" s="15" t="n">
        <v>1987</v>
      </c>
      <c r="Q5" s="15" t="n">
        <f aca="false">IFERROR(VLOOKUP(J5,Parametros!$A$5:$B$9,2,FALSE()),0)</f>
        <v>3</v>
      </c>
      <c r="R5" s="15" t="n">
        <f aca="false">IFERROR(VLOOKUP(H5,Parametros!$D$5:$E$23,2,FALSE()),1)</f>
        <v>2</v>
      </c>
      <c r="S5" s="15" t="n">
        <f aca="false">IF(OR(N(O5)&gt;=Parametros!$H$9,AND(N(P5)&gt;0,N(P5)&lt;=Parametros!$H$10)),1,0)</f>
        <v>1</v>
      </c>
      <c r="T5" s="15" t="n">
        <f aca="false">Q5+R5+S5</f>
        <v>6</v>
      </c>
      <c r="U5" s="15" t="str">
        <f aca="false">IF(OR(V5="Inactive",V5="No encontrada",V5="Duplicado"),"Descartada",IF(AND(T5&gt;=Parametros!$H$5,S5=1),"A",IF(T5&gt;=Parametros!$H$6,"B","C")))</f>
        <v>Descartada</v>
      </c>
      <c r="V5" s="17" t="s">
        <v>77</v>
      </c>
      <c r="W5" s="17"/>
      <c r="X5" s="14" t="s">
        <v>78</v>
      </c>
      <c r="Y5" s="14" t="s">
        <v>79</v>
      </c>
      <c r="Z5" s="14"/>
      <c r="AA5" s="14"/>
      <c r="AB5" s="14"/>
      <c r="AC5" s="14"/>
      <c r="AD5" s="14"/>
      <c r="AE5" s="16" t="s">
        <v>80</v>
      </c>
      <c r="AF5" s="14" t="s">
        <v>81</v>
      </c>
      <c r="AG5" s="14" t="s">
        <v>82</v>
      </c>
      <c r="AH5" s="14" t="s">
        <v>83</v>
      </c>
    </row>
    <row r="6" customFormat="false" ht="15" hidden="false" customHeight="false" outlineLevel="0" collapsed="false">
      <c r="A6" s="14" t="s">
        <v>84</v>
      </c>
      <c r="B6" s="14" t="s">
        <v>85</v>
      </c>
      <c r="C6" s="14" t="s">
        <v>86</v>
      </c>
      <c r="D6" s="14"/>
      <c r="E6" s="14" t="s">
        <v>6</v>
      </c>
      <c r="F6" s="14" t="s">
        <v>87</v>
      </c>
      <c r="G6" s="15" t="s">
        <v>88</v>
      </c>
      <c r="H6" s="14" t="s">
        <v>71</v>
      </c>
      <c r="I6" s="14" t="s">
        <v>89</v>
      </c>
      <c r="J6" s="14" t="s">
        <v>8</v>
      </c>
      <c r="K6" s="14" t="s">
        <v>90</v>
      </c>
      <c r="L6" s="15" t="s">
        <v>91</v>
      </c>
      <c r="M6" s="14" t="s">
        <v>92</v>
      </c>
      <c r="N6" s="16" t="s">
        <v>93</v>
      </c>
      <c r="O6" s="15" t="n">
        <v>10</v>
      </c>
      <c r="P6" s="15" t="n">
        <v>2007</v>
      </c>
      <c r="Q6" s="15" t="n">
        <f aca="false">IFERROR(VLOOKUP(J6,Parametros!$A$5:$B$9,2,FALSE()),0)</f>
        <v>3</v>
      </c>
      <c r="R6" s="15" t="n">
        <f aca="false">IFERROR(VLOOKUP(H6,Parametros!$D$5:$E$23,2,FALSE()),1)</f>
        <v>2</v>
      </c>
      <c r="S6" s="15" t="n">
        <f aca="false">IF(OR(N(O6)&gt;=Parametros!$H$9,AND(N(P6)&gt;0,N(P6)&lt;=Parametros!$H$10)),1,0)</f>
        <v>1</v>
      </c>
      <c r="T6" s="15" t="n">
        <f aca="false">Q6+R6+S6</f>
        <v>6</v>
      </c>
      <c r="U6" s="15" t="str">
        <f aca="false">IF(OR(V6="Inactive",V6="No encontrada",V6="Duplicado"),"Descartada",IF(AND(T6&gt;=Parametros!$H$5,S6=1),"A",IF(T6&gt;=Parametros!$H$6,"B","C")))</f>
        <v>A</v>
      </c>
      <c r="V6" s="17" t="s">
        <v>94</v>
      </c>
      <c r="W6" s="17"/>
      <c r="X6" s="14" t="s">
        <v>95</v>
      </c>
      <c r="Y6" s="14" t="s">
        <v>96</v>
      </c>
      <c r="Z6" s="14"/>
      <c r="AA6" s="16" t="s">
        <v>97</v>
      </c>
      <c r="AB6" s="14"/>
      <c r="AC6" s="14"/>
      <c r="AD6" s="16" t="s">
        <v>98</v>
      </c>
      <c r="AE6" s="16" t="s">
        <v>99</v>
      </c>
      <c r="AF6" s="14"/>
      <c r="AG6" s="14" t="s">
        <v>100</v>
      </c>
      <c r="AH6" s="14" t="s">
        <v>101</v>
      </c>
    </row>
    <row r="7" customFormat="false" ht="15" hidden="false" customHeight="false" outlineLevel="0" collapsed="false">
      <c r="A7" s="14" t="s">
        <v>102</v>
      </c>
      <c r="B7" s="14" t="s">
        <v>103</v>
      </c>
      <c r="C7" s="14" t="s">
        <v>86</v>
      </c>
      <c r="D7" s="14"/>
      <c r="E7" s="14" t="s">
        <v>6</v>
      </c>
      <c r="F7" s="14" t="s">
        <v>104</v>
      </c>
      <c r="G7" s="15" t="s">
        <v>88</v>
      </c>
      <c r="H7" s="14" t="s">
        <v>71</v>
      </c>
      <c r="I7" s="14" t="s">
        <v>72</v>
      </c>
      <c r="J7" s="14" t="s">
        <v>8</v>
      </c>
      <c r="K7" s="14" t="s">
        <v>73</v>
      </c>
      <c r="L7" s="15" t="s">
        <v>74</v>
      </c>
      <c r="M7" s="14" t="s">
        <v>105</v>
      </c>
      <c r="N7" s="16" t="s">
        <v>106</v>
      </c>
      <c r="O7" s="15"/>
      <c r="P7" s="15"/>
      <c r="Q7" s="15" t="n">
        <f aca="false">IFERROR(VLOOKUP(J7,Parametros!$A$5:$B$9,2,FALSE()),0)</f>
        <v>3</v>
      </c>
      <c r="R7" s="15" t="n">
        <f aca="false">IFERROR(VLOOKUP(H7,Parametros!$D$5:$E$23,2,FALSE()),1)</f>
        <v>2</v>
      </c>
      <c r="S7" s="15" t="n">
        <f aca="false">IF(OR(N(O7)&gt;=Parametros!$H$9,AND(N(P7)&gt;0,N(P7)&lt;=Parametros!$H$10)),1,0)</f>
        <v>0</v>
      </c>
      <c r="T7" s="15" t="n">
        <f aca="false">Q7+R7+S7</f>
        <v>5</v>
      </c>
      <c r="U7" s="15" t="str">
        <f aca="false">IF(OR(V7="Inactive",V7="No encontrada",V7="Duplicado"),"Descartada",IF(AND(T7&gt;=Parametros!$H$5,S7=1),"A",IF(T7&gt;=Parametros!$H$6,"B","C")))</f>
        <v>B</v>
      </c>
      <c r="V7" s="17" t="s">
        <v>94</v>
      </c>
      <c r="W7" s="17"/>
      <c r="X7" s="14" t="s">
        <v>107</v>
      </c>
      <c r="Y7" s="14" t="s">
        <v>108</v>
      </c>
      <c r="Z7" s="14"/>
      <c r="AA7" s="14"/>
      <c r="AB7" s="14"/>
      <c r="AC7" s="14"/>
      <c r="AD7" s="14"/>
      <c r="AE7" s="16" t="s">
        <v>106</v>
      </c>
      <c r="AF7" s="14"/>
      <c r="AG7" s="14" t="s">
        <v>100</v>
      </c>
      <c r="AH7" s="14" t="s">
        <v>109</v>
      </c>
    </row>
    <row r="8" customFormat="false" ht="23.85" hidden="false" customHeight="false" outlineLevel="0" collapsed="false">
      <c r="A8" s="14" t="s">
        <v>110</v>
      </c>
      <c r="B8" s="14" t="s">
        <v>111</v>
      </c>
      <c r="C8" s="14" t="s">
        <v>68</v>
      </c>
      <c r="D8" s="14"/>
      <c r="E8" s="14" t="s">
        <v>6</v>
      </c>
      <c r="F8" s="14" t="s">
        <v>112</v>
      </c>
      <c r="G8" s="15" t="s">
        <v>113</v>
      </c>
      <c r="H8" s="14" t="s">
        <v>114</v>
      </c>
      <c r="I8" s="14" t="s">
        <v>115</v>
      </c>
      <c r="J8" s="14" t="s">
        <v>8</v>
      </c>
      <c r="K8" s="14" t="s">
        <v>73</v>
      </c>
      <c r="L8" s="15" t="s">
        <v>74</v>
      </c>
      <c r="M8" s="14" t="s">
        <v>116</v>
      </c>
      <c r="N8" s="16" t="s">
        <v>117</v>
      </c>
      <c r="O8" s="15"/>
      <c r="P8" s="15" t="n">
        <v>1989</v>
      </c>
      <c r="Q8" s="15" t="n">
        <f aca="false">IFERROR(VLOOKUP(J8,Parametros!$A$5:$B$9,2,FALSE()),0)</f>
        <v>3</v>
      </c>
      <c r="R8" s="15" t="n">
        <f aca="false">IFERROR(VLOOKUP(H8,Parametros!$D$5:$E$23,2,FALSE()),1)</f>
        <v>2</v>
      </c>
      <c r="S8" s="15" t="n">
        <f aca="false">IF(OR(N(O8)&gt;=Parametros!$H$9,AND(N(P8)&gt;0,N(P8)&lt;=Parametros!$H$10)),1,0)</f>
        <v>1</v>
      </c>
      <c r="T8" s="15" t="n">
        <f aca="false">Q8+R8+S8</f>
        <v>6</v>
      </c>
      <c r="U8" s="15" t="str">
        <f aca="false">IF(OR(V8="Inactive",V8="No encontrada",V8="Duplicado"),"Descartada",IF(AND(T8&gt;=Parametros!$H$5,S8=1),"A",IF(T8&gt;=Parametros!$H$6,"B","C")))</f>
        <v>A</v>
      </c>
      <c r="V8" s="17" t="s">
        <v>118</v>
      </c>
      <c r="W8" s="17"/>
      <c r="X8" s="14"/>
      <c r="Y8" s="14"/>
      <c r="Z8" s="14"/>
      <c r="AA8" s="14"/>
      <c r="AB8" s="14"/>
      <c r="AC8" s="14"/>
      <c r="AD8" s="14"/>
      <c r="AE8" s="14"/>
      <c r="AF8" s="14" t="s">
        <v>81</v>
      </c>
      <c r="AG8" s="14" t="s">
        <v>119</v>
      </c>
      <c r="AH8" s="14" t="s">
        <v>120</v>
      </c>
    </row>
    <row r="9" customFormat="false" ht="23.85" hidden="false" customHeight="false" outlineLevel="0" collapsed="false">
      <c r="A9" s="14" t="s">
        <v>121</v>
      </c>
      <c r="B9" s="14" t="s">
        <v>122</v>
      </c>
      <c r="C9" s="14" t="s">
        <v>123</v>
      </c>
      <c r="D9" s="14"/>
      <c r="E9" s="14" t="s">
        <v>6</v>
      </c>
      <c r="F9" s="14" t="s">
        <v>124</v>
      </c>
      <c r="G9" s="15" t="s">
        <v>125</v>
      </c>
      <c r="H9" s="14" t="s">
        <v>126</v>
      </c>
      <c r="I9" s="14" t="s">
        <v>72</v>
      </c>
      <c r="J9" s="14" t="s">
        <v>8</v>
      </c>
      <c r="K9" s="14" t="s">
        <v>127</v>
      </c>
      <c r="L9" s="15" t="s">
        <v>91</v>
      </c>
      <c r="M9" s="14" t="s">
        <v>128</v>
      </c>
      <c r="N9" s="16" t="s">
        <v>129</v>
      </c>
      <c r="O9" s="15"/>
      <c r="P9" s="15" t="n">
        <v>1992</v>
      </c>
      <c r="Q9" s="15" t="n">
        <f aca="false">IFERROR(VLOOKUP(J9,Parametros!$A$5:$B$9,2,FALSE()),0)</f>
        <v>3</v>
      </c>
      <c r="R9" s="15" t="n">
        <f aca="false">IFERROR(VLOOKUP(H9,Parametros!$D$5:$E$23,2,FALSE()),1)</f>
        <v>3</v>
      </c>
      <c r="S9" s="15" t="n">
        <f aca="false">IF(OR(N(O9)&gt;=Parametros!$H$9,AND(N(P9)&gt;0,N(P9)&lt;=Parametros!$H$10)),1,0)</f>
        <v>1</v>
      </c>
      <c r="T9" s="15" t="n">
        <f aca="false">Q9+R9+S9</f>
        <v>7</v>
      </c>
      <c r="U9" s="15" t="str">
        <f aca="false">IF(OR(V9="Inactive",V9="No encontrada",V9="Duplicado"),"Descartada",IF(AND(T9&gt;=Parametros!$H$5,S9=1),"A",IF(T9&gt;=Parametros!$H$6,"B","C")))</f>
        <v>A</v>
      </c>
      <c r="V9" s="17" t="s">
        <v>94</v>
      </c>
      <c r="W9" s="17"/>
      <c r="X9" s="14" t="s">
        <v>130</v>
      </c>
      <c r="Y9" s="14" t="s">
        <v>131</v>
      </c>
      <c r="Z9" s="14"/>
      <c r="AA9" s="14"/>
      <c r="AB9" s="14"/>
      <c r="AC9" s="14"/>
      <c r="AD9" s="14"/>
      <c r="AE9" s="16" t="s">
        <v>129</v>
      </c>
      <c r="AF9" s="14"/>
      <c r="AG9" s="14" t="s">
        <v>132</v>
      </c>
      <c r="AH9" s="14" t="s">
        <v>101</v>
      </c>
    </row>
    <row r="10" customFormat="false" ht="23.85" hidden="false" customHeight="false" outlineLevel="0" collapsed="false">
      <c r="A10" s="14" t="s">
        <v>133</v>
      </c>
      <c r="B10" s="14" t="s">
        <v>134</v>
      </c>
      <c r="C10" s="14" t="s">
        <v>68</v>
      </c>
      <c r="D10" s="14"/>
      <c r="E10" s="14" t="s">
        <v>6</v>
      </c>
      <c r="F10" s="14" t="s">
        <v>135</v>
      </c>
      <c r="G10" s="15" t="s">
        <v>136</v>
      </c>
      <c r="H10" s="14" t="s">
        <v>137</v>
      </c>
      <c r="I10" s="14" t="s">
        <v>72</v>
      </c>
      <c r="J10" s="14" t="s">
        <v>8</v>
      </c>
      <c r="K10" s="14" t="s">
        <v>73</v>
      </c>
      <c r="L10" s="15" t="s">
        <v>74</v>
      </c>
      <c r="M10" s="14" t="s">
        <v>138</v>
      </c>
      <c r="N10" s="16" t="s">
        <v>139</v>
      </c>
      <c r="O10" s="15"/>
      <c r="P10" s="15" t="n">
        <v>1970</v>
      </c>
      <c r="Q10" s="15" t="n">
        <f aca="false">IFERROR(VLOOKUP(J10,Parametros!$A$5:$B$9,2,FALSE()),0)</f>
        <v>3</v>
      </c>
      <c r="R10" s="15" t="n">
        <f aca="false">IFERROR(VLOOKUP(H10,Parametros!$D$5:$E$23,2,FALSE()),1)</f>
        <v>3</v>
      </c>
      <c r="S10" s="15" t="n">
        <f aca="false">IF(OR(N(O10)&gt;=Parametros!$H$9,AND(N(P10)&gt;0,N(P10)&lt;=Parametros!$H$10)),1,0)</f>
        <v>1</v>
      </c>
      <c r="T10" s="15" t="n">
        <f aca="false">Q10+R10+S10</f>
        <v>7</v>
      </c>
      <c r="U10" s="15" t="str">
        <f aca="false">IF(OR(V10="Inactive",V10="No encontrada",V10="Duplicado"),"Descartada",IF(AND(T10&gt;=Parametros!$H$5,S10=1),"A",IF(T10&gt;=Parametros!$H$6,"B","C")))</f>
        <v>A</v>
      </c>
      <c r="V10" s="17" t="s">
        <v>94</v>
      </c>
      <c r="W10" s="17" t="s">
        <v>140</v>
      </c>
      <c r="X10" s="14" t="s">
        <v>141</v>
      </c>
      <c r="Y10" s="14" t="s">
        <v>142</v>
      </c>
      <c r="Z10" s="14"/>
      <c r="AA10" s="14"/>
      <c r="AB10" s="14"/>
      <c r="AC10" s="14"/>
      <c r="AD10" s="14"/>
      <c r="AE10" s="16" t="s">
        <v>139</v>
      </c>
      <c r="AF10" s="14" t="s">
        <v>81</v>
      </c>
      <c r="AG10" s="14" t="s">
        <v>143</v>
      </c>
      <c r="AH10" s="14" t="s">
        <v>144</v>
      </c>
    </row>
    <row r="11" customFormat="false" ht="23.85" hidden="false" customHeight="false" outlineLevel="0" collapsed="false">
      <c r="A11" s="14" t="s">
        <v>145</v>
      </c>
      <c r="B11" s="14" t="s">
        <v>146</v>
      </c>
      <c r="C11" s="14" t="s">
        <v>86</v>
      </c>
      <c r="D11" s="14"/>
      <c r="E11" s="14" t="s">
        <v>6</v>
      </c>
      <c r="F11" s="14" t="s">
        <v>147</v>
      </c>
      <c r="G11" s="15" t="s">
        <v>136</v>
      </c>
      <c r="H11" s="14" t="s">
        <v>137</v>
      </c>
      <c r="I11" s="14" t="s">
        <v>72</v>
      </c>
      <c r="J11" s="14" t="s">
        <v>148</v>
      </c>
      <c r="K11" s="14" t="s">
        <v>73</v>
      </c>
      <c r="L11" s="15" t="s">
        <v>74</v>
      </c>
      <c r="M11" s="14" t="s">
        <v>149</v>
      </c>
      <c r="N11" s="16" t="s">
        <v>150</v>
      </c>
      <c r="O11" s="15" t="n">
        <v>55</v>
      </c>
      <c r="P11" s="15" t="n">
        <v>1986</v>
      </c>
      <c r="Q11" s="15" t="n">
        <f aca="false">IFERROR(VLOOKUP(J11,Parametros!$A$5:$B$9,2,FALSE()),0)</f>
        <v>3</v>
      </c>
      <c r="R11" s="15" t="n">
        <f aca="false">IFERROR(VLOOKUP(H11,Parametros!$D$5:$E$23,2,FALSE()),1)</f>
        <v>3</v>
      </c>
      <c r="S11" s="15" t="n">
        <f aca="false">IF(OR(N(O11)&gt;=Parametros!$H$9,AND(N(P11)&gt;0,N(P11)&lt;=Parametros!$H$10)),1,0)</f>
        <v>1</v>
      </c>
      <c r="T11" s="15" t="n">
        <f aca="false">Q11+R11+S11</f>
        <v>7</v>
      </c>
      <c r="U11" s="15" t="str">
        <f aca="false">IF(OR(V11="Inactive",V11="No encontrada",V11="Duplicado"),"Descartada",IF(AND(T11&gt;=Parametros!$H$5,S11=1),"A",IF(T11&gt;=Parametros!$H$6,"B","C")))</f>
        <v>A</v>
      </c>
      <c r="V11" s="17" t="s">
        <v>94</v>
      </c>
      <c r="W11" s="17"/>
      <c r="X11" s="14" t="s">
        <v>151</v>
      </c>
      <c r="Y11" s="14" t="s">
        <v>152</v>
      </c>
      <c r="Z11" s="14" t="s">
        <v>153</v>
      </c>
      <c r="AA11" s="14"/>
      <c r="AB11" s="14"/>
      <c r="AC11" s="14"/>
      <c r="AD11" s="14"/>
      <c r="AE11" s="16" t="s">
        <v>154</v>
      </c>
      <c r="AF11" s="14"/>
      <c r="AG11" s="14"/>
      <c r="AH11" s="14" t="s">
        <v>144</v>
      </c>
    </row>
    <row r="12" customFormat="false" ht="23.85" hidden="false" customHeight="false" outlineLevel="0" collapsed="false">
      <c r="A12" s="14" t="s">
        <v>155</v>
      </c>
      <c r="B12" s="14" t="s">
        <v>156</v>
      </c>
      <c r="C12" s="14" t="s">
        <v>157</v>
      </c>
      <c r="D12" s="14"/>
      <c r="E12" s="14" t="s">
        <v>6</v>
      </c>
      <c r="F12" s="14" t="s">
        <v>158</v>
      </c>
      <c r="G12" s="15" t="s">
        <v>125</v>
      </c>
      <c r="H12" s="14" t="s">
        <v>126</v>
      </c>
      <c r="I12" s="14" t="s">
        <v>115</v>
      </c>
      <c r="J12" s="14" t="s">
        <v>148</v>
      </c>
      <c r="K12" s="14" t="s">
        <v>61</v>
      </c>
      <c r="L12" s="15" t="s">
        <v>91</v>
      </c>
      <c r="M12" s="14" t="s">
        <v>159</v>
      </c>
      <c r="N12" s="16" t="s">
        <v>160</v>
      </c>
      <c r="O12" s="15" t="n">
        <v>100</v>
      </c>
      <c r="P12" s="15" t="n">
        <v>2001</v>
      </c>
      <c r="Q12" s="15" t="n">
        <f aca="false">IFERROR(VLOOKUP(J12,Parametros!$A$5:$B$9,2,FALSE()),0)</f>
        <v>3</v>
      </c>
      <c r="R12" s="15" t="n">
        <f aca="false">IFERROR(VLOOKUP(H12,Parametros!$D$5:$E$23,2,FALSE()),1)</f>
        <v>3</v>
      </c>
      <c r="S12" s="15" t="n">
        <f aca="false">IF(OR(N(O12)&gt;=Parametros!$H$9,AND(N(P12)&gt;0,N(P12)&lt;=Parametros!$H$10)),1,0)</f>
        <v>1</v>
      </c>
      <c r="T12" s="15" t="n">
        <f aca="false">Q12+R12+S12</f>
        <v>7</v>
      </c>
      <c r="U12" s="15" t="str">
        <f aca="false">IF(OR(V12="Inactive",V12="No encontrada",V12="Duplicado"),"Descartada",IF(AND(T12&gt;=Parametros!$H$5,S12=1),"A",IF(T12&gt;=Parametros!$H$6,"B","C")))</f>
        <v>A</v>
      </c>
      <c r="V12" s="17" t="s">
        <v>94</v>
      </c>
      <c r="W12" s="17"/>
      <c r="X12" s="14" t="s">
        <v>161</v>
      </c>
      <c r="Y12" s="14" t="s">
        <v>162</v>
      </c>
      <c r="Z12" s="14" t="s">
        <v>163</v>
      </c>
      <c r="AA12" s="14"/>
      <c r="AB12" s="14"/>
      <c r="AC12" s="14"/>
      <c r="AD12" s="16" t="s">
        <v>164</v>
      </c>
      <c r="AE12" s="16" t="s">
        <v>165</v>
      </c>
      <c r="AF12" s="14"/>
      <c r="AG12" s="14"/>
      <c r="AH12" s="14" t="s">
        <v>101</v>
      </c>
    </row>
    <row r="13" customFormat="false" ht="15" hidden="false" customHeight="false" outlineLevel="0" collapsed="false">
      <c r="A13" s="14" t="s">
        <v>166</v>
      </c>
      <c r="B13" s="14" t="s">
        <v>167</v>
      </c>
      <c r="C13" s="14" t="s">
        <v>68</v>
      </c>
      <c r="D13" s="14"/>
      <c r="E13" s="14" t="s">
        <v>6</v>
      </c>
      <c r="F13" s="14" t="s">
        <v>168</v>
      </c>
      <c r="G13" s="15" t="s">
        <v>125</v>
      </c>
      <c r="H13" s="14" t="s">
        <v>126</v>
      </c>
      <c r="I13" s="14" t="s">
        <v>115</v>
      </c>
      <c r="J13" s="14" t="s">
        <v>148</v>
      </c>
      <c r="K13" s="14" t="s">
        <v>90</v>
      </c>
      <c r="L13" s="15" t="s">
        <v>91</v>
      </c>
      <c r="M13" s="14" t="s">
        <v>169</v>
      </c>
      <c r="N13" s="16" t="s">
        <v>170</v>
      </c>
      <c r="O13" s="15"/>
      <c r="P13" s="15" t="n">
        <v>1973</v>
      </c>
      <c r="Q13" s="15" t="n">
        <f aca="false">IFERROR(VLOOKUP(J13,Parametros!$A$5:$B$9,2,FALSE()),0)</f>
        <v>3</v>
      </c>
      <c r="R13" s="15" t="n">
        <f aca="false">IFERROR(VLOOKUP(H13,Parametros!$D$5:$E$23,2,FALSE()),1)</f>
        <v>3</v>
      </c>
      <c r="S13" s="15" t="n">
        <f aca="false">IF(OR(N(O13)&gt;=Parametros!$H$9,AND(N(P13)&gt;0,N(P13)&lt;=Parametros!$H$10)),1,0)</f>
        <v>1</v>
      </c>
      <c r="T13" s="15" t="n">
        <f aca="false">Q13+R13+S13</f>
        <v>7</v>
      </c>
      <c r="U13" s="15" t="str">
        <f aca="false">IF(OR(V13="Inactive",V13="No encontrada",V13="Duplicado"),"Descartada",IF(AND(T13&gt;=Parametros!$H$5,S13=1),"A",IF(T13&gt;=Parametros!$H$6,"B","C")))</f>
        <v>A</v>
      </c>
      <c r="V13" s="17" t="s">
        <v>94</v>
      </c>
      <c r="W13" s="17"/>
      <c r="X13" s="14" t="s">
        <v>171</v>
      </c>
      <c r="Y13" s="14" t="s">
        <v>172</v>
      </c>
      <c r="Z13" s="14" t="s">
        <v>173</v>
      </c>
      <c r="AA13" s="16" t="s">
        <v>174</v>
      </c>
      <c r="AB13" s="14"/>
      <c r="AC13" s="14"/>
      <c r="AD13" s="16" t="s">
        <v>175</v>
      </c>
      <c r="AE13" s="16" t="s">
        <v>176</v>
      </c>
      <c r="AF13" s="14"/>
      <c r="AG13" s="14"/>
      <c r="AH13" s="14" t="s">
        <v>120</v>
      </c>
    </row>
    <row r="14" customFormat="false" ht="15" hidden="false" customHeight="false" outlineLevel="0" collapsed="false">
      <c r="A14" s="14" t="s">
        <v>177</v>
      </c>
      <c r="B14" s="14" t="s">
        <v>178</v>
      </c>
      <c r="C14" s="14" t="s">
        <v>86</v>
      </c>
      <c r="D14" s="14"/>
      <c r="E14" s="14" t="s">
        <v>6</v>
      </c>
      <c r="F14" s="14" t="s">
        <v>179</v>
      </c>
      <c r="G14" s="15" t="s">
        <v>180</v>
      </c>
      <c r="H14" s="14" t="s">
        <v>71</v>
      </c>
      <c r="I14" s="14" t="s">
        <v>72</v>
      </c>
      <c r="J14" s="14" t="s">
        <v>148</v>
      </c>
      <c r="K14" s="14" t="s">
        <v>73</v>
      </c>
      <c r="L14" s="15" t="s">
        <v>74</v>
      </c>
      <c r="M14" s="14" t="s">
        <v>181</v>
      </c>
      <c r="N14" s="16" t="s">
        <v>182</v>
      </c>
      <c r="O14" s="15"/>
      <c r="P14" s="15"/>
      <c r="Q14" s="15" t="n">
        <f aca="false">IFERROR(VLOOKUP(J14,Parametros!$A$5:$B$9,2,FALSE()),0)</f>
        <v>3</v>
      </c>
      <c r="R14" s="15" t="n">
        <f aca="false">IFERROR(VLOOKUP(H14,Parametros!$D$5:$E$23,2,FALSE()),1)</f>
        <v>2</v>
      </c>
      <c r="S14" s="15" t="n">
        <f aca="false">IF(OR(N(O14)&gt;=Parametros!$H$9,AND(N(P14)&gt;0,N(P14)&lt;=Parametros!$H$10)),1,0)</f>
        <v>0</v>
      </c>
      <c r="T14" s="15" t="n">
        <f aca="false">Q14+R14+S14</f>
        <v>5</v>
      </c>
      <c r="U14" s="15" t="str">
        <f aca="false">IF(OR(V14="Inactive",V14="No encontrada",V14="Duplicado"),"Descartada",IF(AND(T14&gt;=Parametros!$H$5,S14=1),"A",IF(T14&gt;=Parametros!$H$6,"B","C")))</f>
        <v>B</v>
      </c>
      <c r="V14" s="17" t="s">
        <v>94</v>
      </c>
      <c r="W14" s="17"/>
      <c r="X14" s="14" t="s">
        <v>183</v>
      </c>
      <c r="Y14" s="14" t="s">
        <v>184</v>
      </c>
      <c r="Z14" s="14" t="s">
        <v>185</v>
      </c>
      <c r="AA14" s="14"/>
      <c r="AB14" s="14"/>
      <c r="AC14" s="14"/>
      <c r="AD14" s="14"/>
      <c r="AE14" s="16" t="s">
        <v>186</v>
      </c>
      <c r="AF14" s="14"/>
      <c r="AG14" s="14"/>
      <c r="AH14" s="14" t="s">
        <v>109</v>
      </c>
    </row>
    <row r="15" customFormat="false" ht="15" hidden="false" customHeight="false" outlineLevel="0" collapsed="false">
      <c r="A15" s="14" t="s">
        <v>187</v>
      </c>
      <c r="B15" s="14" t="s">
        <v>188</v>
      </c>
      <c r="C15" s="14" t="s">
        <v>86</v>
      </c>
      <c r="D15" s="14"/>
      <c r="E15" s="14" t="s">
        <v>6</v>
      </c>
      <c r="F15" s="14" t="s">
        <v>189</v>
      </c>
      <c r="G15" s="15" t="s">
        <v>136</v>
      </c>
      <c r="H15" s="14" t="s">
        <v>137</v>
      </c>
      <c r="I15" s="14" t="s">
        <v>72</v>
      </c>
      <c r="J15" s="14" t="s">
        <v>148</v>
      </c>
      <c r="K15" s="14" t="s">
        <v>73</v>
      </c>
      <c r="L15" s="15" t="s">
        <v>74</v>
      </c>
      <c r="M15" s="14" t="s">
        <v>190</v>
      </c>
      <c r="N15" s="16" t="s">
        <v>191</v>
      </c>
      <c r="O15" s="15" t="n">
        <v>66</v>
      </c>
      <c r="P15" s="15" t="n">
        <v>2006</v>
      </c>
      <c r="Q15" s="15" t="n">
        <f aca="false">IFERROR(VLOOKUP(J15,Parametros!$A$5:$B$9,2,FALSE()),0)</f>
        <v>3</v>
      </c>
      <c r="R15" s="15" t="n">
        <f aca="false">IFERROR(VLOOKUP(H15,Parametros!$D$5:$E$23,2,FALSE()),1)</f>
        <v>3</v>
      </c>
      <c r="S15" s="15" t="n">
        <f aca="false">IF(OR(N(O15)&gt;=Parametros!$H$9,AND(N(P15)&gt;0,N(P15)&lt;=Parametros!$H$10)),1,0)</f>
        <v>1</v>
      </c>
      <c r="T15" s="15" t="n">
        <f aca="false">Q15+R15+S15</f>
        <v>7</v>
      </c>
      <c r="U15" s="15" t="str">
        <f aca="false">IF(OR(V15="Inactive",V15="No encontrada",V15="Duplicado"),"Descartada",IF(AND(T15&gt;=Parametros!$H$5,S15=1),"A",IF(T15&gt;=Parametros!$H$6,"B","C")))</f>
        <v>A</v>
      </c>
      <c r="V15" s="17" t="s">
        <v>94</v>
      </c>
      <c r="W15" s="17"/>
      <c r="X15" s="14" t="s">
        <v>192</v>
      </c>
      <c r="Y15" s="14" t="s">
        <v>193</v>
      </c>
      <c r="Z15" s="14" t="s">
        <v>194</v>
      </c>
      <c r="AA15" s="14"/>
      <c r="AB15" s="14"/>
      <c r="AC15" s="14"/>
      <c r="AD15" s="14"/>
      <c r="AE15" s="16" t="s">
        <v>195</v>
      </c>
      <c r="AF15" s="14"/>
      <c r="AG15" s="14"/>
      <c r="AH15" s="14" t="s">
        <v>144</v>
      </c>
    </row>
    <row r="16" customFormat="false" ht="15" hidden="false" customHeight="false" outlineLevel="0" collapsed="false">
      <c r="A16" s="14" t="s">
        <v>196</v>
      </c>
      <c r="B16" s="14" t="s">
        <v>197</v>
      </c>
      <c r="C16" s="14" t="s">
        <v>68</v>
      </c>
      <c r="D16" s="14"/>
      <c r="E16" s="14" t="s">
        <v>6</v>
      </c>
      <c r="F16" s="14" t="s">
        <v>198</v>
      </c>
      <c r="G16" s="15" t="s">
        <v>70</v>
      </c>
      <c r="H16" s="14" t="s">
        <v>71</v>
      </c>
      <c r="I16" s="14" t="s">
        <v>72</v>
      </c>
      <c r="J16" s="14" t="s">
        <v>199</v>
      </c>
      <c r="K16" s="14" t="s">
        <v>90</v>
      </c>
      <c r="L16" s="15" t="s">
        <v>91</v>
      </c>
      <c r="M16" s="14" t="s">
        <v>200</v>
      </c>
      <c r="N16" s="16" t="s">
        <v>201</v>
      </c>
      <c r="O16" s="15"/>
      <c r="P16" s="15" t="n">
        <v>1996</v>
      </c>
      <c r="Q16" s="15" t="n">
        <f aca="false">IFERROR(VLOOKUP(J16,Parametros!$A$5:$B$9,2,FALSE()),0)</f>
        <v>1</v>
      </c>
      <c r="R16" s="15" t="n">
        <f aca="false">IFERROR(VLOOKUP(H16,Parametros!$D$5:$E$23,2,FALSE()),1)</f>
        <v>2</v>
      </c>
      <c r="S16" s="15" t="n">
        <f aca="false">IF(OR(N(O16)&gt;=Parametros!$H$9,AND(N(P16)&gt;0,N(P16)&lt;=Parametros!$H$10)),1,0)</f>
        <v>1</v>
      </c>
      <c r="T16" s="15" t="n">
        <f aca="false">Q16+R16+S16</f>
        <v>4</v>
      </c>
      <c r="U16" s="15" t="str">
        <f aca="false">IF(OR(V16="Inactive",V16="No encontrada",V16="Duplicado"),"Descartada",IF(AND(T16&gt;=Parametros!$H$5,S16=1),"A",IF(T16&gt;=Parametros!$H$6,"B","C")))</f>
        <v>B</v>
      </c>
      <c r="V16" s="17" t="s">
        <v>94</v>
      </c>
      <c r="W16" s="17"/>
      <c r="X16" s="14" t="s">
        <v>202</v>
      </c>
      <c r="Y16" s="14" t="s">
        <v>203</v>
      </c>
      <c r="Z16" s="14"/>
      <c r="AA16" s="16" t="s">
        <v>201</v>
      </c>
      <c r="AB16" s="14"/>
      <c r="AC16" s="14"/>
      <c r="AD16" s="16" t="s">
        <v>204</v>
      </c>
      <c r="AE16" s="16" t="s">
        <v>205</v>
      </c>
      <c r="AF16" s="14"/>
      <c r="AG16" s="14" t="s">
        <v>206</v>
      </c>
      <c r="AH16" s="14" t="s">
        <v>207</v>
      </c>
    </row>
    <row r="17" customFormat="false" ht="15" hidden="false" customHeight="false" outlineLevel="0" collapsed="false">
      <c r="A17" s="14" t="s">
        <v>208</v>
      </c>
      <c r="B17" s="14" t="s">
        <v>209</v>
      </c>
      <c r="C17" s="14" t="s">
        <v>68</v>
      </c>
      <c r="D17" s="14"/>
      <c r="E17" s="14" t="s">
        <v>6</v>
      </c>
      <c r="F17" s="14" t="s">
        <v>198</v>
      </c>
      <c r="G17" s="15" t="s">
        <v>70</v>
      </c>
      <c r="H17" s="14" t="s">
        <v>71</v>
      </c>
      <c r="I17" s="14" t="s">
        <v>210</v>
      </c>
      <c r="J17" s="14" t="s">
        <v>199</v>
      </c>
      <c r="K17" s="14" t="s">
        <v>211</v>
      </c>
      <c r="L17" s="15" t="s">
        <v>91</v>
      </c>
      <c r="M17" s="14" t="s">
        <v>212</v>
      </c>
      <c r="N17" s="16" t="s">
        <v>213</v>
      </c>
      <c r="O17" s="15"/>
      <c r="P17" s="15" t="n">
        <v>2001</v>
      </c>
      <c r="Q17" s="15" t="n">
        <f aca="false">IFERROR(VLOOKUP(J17,Parametros!$A$5:$B$9,2,FALSE()),0)</f>
        <v>1</v>
      </c>
      <c r="R17" s="15" t="n">
        <f aca="false">IFERROR(VLOOKUP(H17,Parametros!$D$5:$E$23,2,FALSE()),1)</f>
        <v>2</v>
      </c>
      <c r="S17" s="15" t="n">
        <f aca="false">IF(OR(N(O17)&gt;=Parametros!$H$9,AND(N(P17)&gt;0,N(P17)&lt;=Parametros!$H$10)),1,0)</f>
        <v>0</v>
      </c>
      <c r="T17" s="15" t="n">
        <f aca="false">Q17+R17+S17</f>
        <v>3</v>
      </c>
      <c r="U17" s="15" t="str">
        <f aca="false">IF(OR(V17="Inactive",V17="No encontrada",V17="Duplicado"),"Descartada",IF(AND(T17&gt;=Parametros!$H$5,S17=1),"A",IF(T17&gt;=Parametros!$H$6,"B","C")))</f>
        <v>C</v>
      </c>
      <c r="V17" s="17" t="s">
        <v>94</v>
      </c>
      <c r="W17" s="17"/>
      <c r="X17" s="14" t="s">
        <v>214</v>
      </c>
      <c r="Y17" s="14" t="s">
        <v>215</v>
      </c>
      <c r="Z17" s="14" t="s">
        <v>216</v>
      </c>
      <c r="AA17" s="16" t="s">
        <v>217</v>
      </c>
      <c r="AB17" s="16" t="s">
        <v>218</v>
      </c>
      <c r="AC17" s="14"/>
      <c r="AD17" s="16" t="s">
        <v>213</v>
      </c>
      <c r="AE17" s="16" t="s">
        <v>219</v>
      </c>
      <c r="AF17" s="14"/>
      <c r="AG17" s="14" t="s">
        <v>220</v>
      </c>
      <c r="AH17" s="14" t="s">
        <v>207</v>
      </c>
    </row>
    <row r="18" customFormat="false" ht="23.85" hidden="false" customHeight="false" outlineLevel="0" collapsed="false">
      <c r="A18" s="14" t="s">
        <v>221</v>
      </c>
      <c r="B18" s="14" t="s">
        <v>222</v>
      </c>
      <c r="C18" s="14" t="s">
        <v>68</v>
      </c>
      <c r="D18" s="14"/>
      <c r="E18" s="14" t="s">
        <v>6</v>
      </c>
      <c r="F18" s="14" t="s">
        <v>223</v>
      </c>
      <c r="G18" s="15" t="s">
        <v>224</v>
      </c>
      <c r="H18" s="14" t="s">
        <v>225</v>
      </c>
      <c r="I18" s="14" t="s">
        <v>210</v>
      </c>
      <c r="J18" s="14" t="s">
        <v>8</v>
      </c>
      <c r="K18" s="14" t="s">
        <v>61</v>
      </c>
      <c r="L18" s="15" t="s">
        <v>91</v>
      </c>
      <c r="M18" s="14" t="s">
        <v>226</v>
      </c>
      <c r="N18" s="16" t="s">
        <v>227</v>
      </c>
      <c r="O18" s="15"/>
      <c r="P18" s="15"/>
      <c r="Q18" s="15" t="n">
        <f aca="false">IFERROR(VLOOKUP(J18,Parametros!$A$5:$B$9,2,FALSE()),0)</f>
        <v>3</v>
      </c>
      <c r="R18" s="15" t="n">
        <f aca="false">IFERROR(VLOOKUP(H18,Parametros!$D$5:$E$23,2,FALSE()),1)</f>
        <v>2</v>
      </c>
      <c r="S18" s="15" t="n">
        <f aca="false">IF(OR(N(O18)&gt;=Parametros!$H$9,AND(N(P18)&gt;0,N(P18)&lt;=Parametros!$H$10)),1,0)</f>
        <v>0</v>
      </c>
      <c r="T18" s="15" t="n">
        <f aca="false">Q18+R18+S18</f>
        <v>5</v>
      </c>
      <c r="U18" s="15" t="str">
        <f aca="false">IF(OR(V18="Inactive",V18="No encontrada",V18="Duplicado"),"Descartada",IF(AND(T18&gt;=Parametros!$H$5,S18=1),"A",IF(T18&gt;=Parametros!$H$6,"B","C")))</f>
        <v>B</v>
      </c>
      <c r="V18" s="17" t="s">
        <v>94</v>
      </c>
      <c r="W18" s="17"/>
      <c r="X18" s="14" t="s">
        <v>228</v>
      </c>
      <c r="Y18" s="14" t="s">
        <v>229</v>
      </c>
      <c r="Z18" s="14"/>
      <c r="AA18" s="14"/>
      <c r="AB18" s="14"/>
      <c r="AC18" s="14"/>
      <c r="AD18" s="16" t="s">
        <v>227</v>
      </c>
      <c r="AE18" s="16" t="s">
        <v>230</v>
      </c>
      <c r="AF18" s="14"/>
      <c r="AG18" s="14" t="s">
        <v>231</v>
      </c>
      <c r="AH18" s="14" t="s">
        <v>232</v>
      </c>
    </row>
    <row r="19" customFormat="false" ht="15" hidden="false" customHeight="false" outlineLevel="0" collapsed="false">
      <c r="A19" s="14" t="s">
        <v>233</v>
      </c>
      <c r="B19" s="14" t="s">
        <v>234</v>
      </c>
      <c r="C19" s="14" t="s">
        <v>68</v>
      </c>
      <c r="D19" s="14"/>
      <c r="E19" s="14" t="s">
        <v>6</v>
      </c>
      <c r="F19" s="14" t="s">
        <v>223</v>
      </c>
      <c r="G19" s="15" t="s">
        <v>224</v>
      </c>
      <c r="H19" s="14" t="s">
        <v>225</v>
      </c>
      <c r="I19" s="14" t="s">
        <v>89</v>
      </c>
      <c r="J19" s="14" t="s">
        <v>235</v>
      </c>
      <c r="K19" s="14" t="s">
        <v>90</v>
      </c>
      <c r="L19" s="15" t="s">
        <v>91</v>
      </c>
      <c r="M19" s="14" t="s">
        <v>236</v>
      </c>
      <c r="N19" s="16" t="s">
        <v>237</v>
      </c>
      <c r="O19" s="15"/>
      <c r="P19" s="15" t="n">
        <v>2008</v>
      </c>
      <c r="Q19" s="15" t="n">
        <f aca="false">IFERROR(VLOOKUP(J19,Parametros!$A$5:$B$9,2,FALSE()),0)</f>
        <v>2</v>
      </c>
      <c r="R19" s="15" t="n">
        <f aca="false">IFERROR(VLOOKUP(H19,Parametros!$D$5:$E$23,2,FALSE()),1)</f>
        <v>2</v>
      </c>
      <c r="S19" s="15" t="n">
        <f aca="false">IF(OR(N(O19)&gt;=Parametros!$H$9,AND(N(P19)&gt;0,N(P19)&lt;=Parametros!$H$10)),1,0)</f>
        <v>0</v>
      </c>
      <c r="T19" s="15" t="n">
        <f aca="false">Q19+R19+S19</f>
        <v>4</v>
      </c>
      <c r="U19" s="15" t="str">
        <f aca="false">IF(OR(V19="Inactive",V19="No encontrada",V19="Duplicado"),"Descartada",IF(AND(T19&gt;=Parametros!$H$5,S19=1),"A",IF(T19&gt;=Parametros!$H$6,"B","C")))</f>
        <v>B</v>
      </c>
      <c r="V19" s="17" t="s">
        <v>94</v>
      </c>
      <c r="W19" s="17"/>
      <c r="X19" s="14" t="s">
        <v>238</v>
      </c>
      <c r="Y19" s="14" t="s">
        <v>239</v>
      </c>
      <c r="Z19" s="14" t="s">
        <v>240</v>
      </c>
      <c r="AA19" s="16" t="s">
        <v>241</v>
      </c>
      <c r="AB19" s="14"/>
      <c r="AC19" s="14"/>
      <c r="AD19" s="16" t="s">
        <v>242</v>
      </c>
      <c r="AE19" s="16" t="s">
        <v>242</v>
      </c>
      <c r="AF19" s="14"/>
      <c r="AG19" s="14"/>
      <c r="AH19" s="14" t="s">
        <v>232</v>
      </c>
    </row>
    <row r="20" customFormat="false" ht="15" hidden="false" customHeight="false" outlineLevel="0" collapsed="false">
      <c r="A20" s="14" t="s">
        <v>243</v>
      </c>
      <c r="B20" s="14" t="s">
        <v>244</v>
      </c>
      <c r="C20" s="14" t="s">
        <v>68</v>
      </c>
      <c r="D20" s="14"/>
      <c r="E20" s="14" t="s">
        <v>6</v>
      </c>
      <c r="F20" s="14" t="s">
        <v>135</v>
      </c>
      <c r="G20" s="15" t="s">
        <v>136</v>
      </c>
      <c r="H20" s="14" t="s">
        <v>137</v>
      </c>
      <c r="I20" s="14" t="s">
        <v>72</v>
      </c>
      <c r="J20" s="14" t="s">
        <v>199</v>
      </c>
      <c r="K20" s="14" t="s">
        <v>61</v>
      </c>
      <c r="L20" s="15" t="s">
        <v>91</v>
      </c>
      <c r="M20" s="14" t="s">
        <v>245</v>
      </c>
      <c r="N20" s="16" t="s">
        <v>246</v>
      </c>
      <c r="O20" s="15"/>
      <c r="P20" s="15"/>
      <c r="Q20" s="15" t="n">
        <f aca="false">IFERROR(VLOOKUP(J20,Parametros!$A$5:$B$9,2,FALSE()),0)</f>
        <v>1</v>
      </c>
      <c r="R20" s="15" t="n">
        <f aca="false">IFERROR(VLOOKUP(H20,Parametros!$D$5:$E$23,2,FALSE()),1)</f>
        <v>3</v>
      </c>
      <c r="S20" s="15" t="n">
        <f aca="false">IF(OR(N(O20)&gt;=Parametros!$H$9,AND(N(P20)&gt;0,N(P20)&lt;=Parametros!$H$10)),1,0)</f>
        <v>0</v>
      </c>
      <c r="T20" s="15" t="n">
        <f aca="false">Q20+R20+S20</f>
        <v>4</v>
      </c>
      <c r="U20" s="15" t="str">
        <f aca="false">IF(OR(V20="Inactive",V20="No encontrada",V20="Duplicado"),"Descartada",IF(AND(T20&gt;=Parametros!$H$5,S20=1),"A",IF(T20&gt;=Parametros!$H$6,"B","C")))</f>
        <v>B</v>
      </c>
      <c r="V20" s="17" t="s">
        <v>94</v>
      </c>
      <c r="W20" s="17"/>
      <c r="X20" s="14" t="s">
        <v>247</v>
      </c>
      <c r="Y20" s="14" t="s">
        <v>248</v>
      </c>
      <c r="Z20" s="14" t="s">
        <v>249</v>
      </c>
      <c r="AA20" s="14"/>
      <c r="AB20" s="14"/>
      <c r="AC20" s="14"/>
      <c r="AD20" s="16" t="s">
        <v>250</v>
      </c>
      <c r="AE20" s="16" t="s">
        <v>251</v>
      </c>
      <c r="AF20" s="14"/>
      <c r="AG20" s="14"/>
      <c r="AH20" s="14" t="s">
        <v>144</v>
      </c>
    </row>
    <row r="21" customFormat="false" ht="15" hidden="false" customHeight="false" outlineLevel="0" collapsed="false">
      <c r="A21" s="14" t="s">
        <v>252</v>
      </c>
      <c r="B21" s="14" t="s">
        <v>253</v>
      </c>
      <c r="C21" s="14" t="s">
        <v>68</v>
      </c>
      <c r="D21" s="14"/>
      <c r="E21" s="14" t="s">
        <v>6</v>
      </c>
      <c r="F21" s="14" t="s">
        <v>254</v>
      </c>
      <c r="G21" s="15" t="s">
        <v>136</v>
      </c>
      <c r="H21" s="14" t="s">
        <v>137</v>
      </c>
      <c r="I21" s="14" t="s">
        <v>72</v>
      </c>
      <c r="J21" s="14" t="s">
        <v>8</v>
      </c>
      <c r="K21" s="14" t="s">
        <v>73</v>
      </c>
      <c r="L21" s="15" t="s">
        <v>74</v>
      </c>
      <c r="M21" s="14" t="s">
        <v>255</v>
      </c>
      <c r="N21" s="16" t="s">
        <v>256</v>
      </c>
      <c r="O21" s="15"/>
      <c r="P21" s="15"/>
      <c r="Q21" s="15" t="n">
        <f aca="false">IFERROR(VLOOKUP(J21,Parametros!$A$5:$B$9,2,FALSE()),0)</f>
        <v>3</v>
      </c>
      <c r="R21" s="15" t="n">
        <f aca="false">IFERROR(VLOOKUP(H21,Parametros!$D$5:$E$23,2,FALSE()),1)</f>
        <v>3</v>
      </c>
      <c r="S21" s="15" t="n">
        <f aca="false">IF(OR(N(O21)&gt;=Parametros!$H$9,AND(N(P21)&gt;0,N(P21)&lt;=Parametros!$H$10)),1,0)</f>
        <v>0</v>
      </c>
      <c r="T21" s="15" t="n">
        <f aca="false">Q21+R21+S21</f>
        <v>6</v>
      </c>
      <c r="U21" s="15" t="str">
        <f aca="false">IF(OR(V21="Inactive",V21="No encontrada",V21="Duplicado"),"Descartada",IF(AND(T21&gt;=Parametros!$H$5,S21=1),"A",IF(T21&gt;=Parametros!$H$6,"B","C")))</f>
        <v>B</v>
      </c>
      <c r="V21" s="17" t="s">
        <v>94</v>
      </c>
      <c r="W21" s="17"/>
      <c r="X21" s="14" t="s">
        <v>257</v>
      </c>
      <c r="Y21" s="14" t="s">
        <v>258</v>
      </c>
      <c r="Z21" s="14"/>
      <c r="AA21" s="14"/>
      <c r="AB21" s="14"/>
      <c r="AC21" s="14"/>
      <c r="AD21" s="14"/>
      <c r="AE21" s="16" t="s">
        <v>259</v>
      </c>
      <c r="AF21" s="14"/>
      <c r="AG21" s="14" t="s">
        <v>260</v>
      </c>
      <c r="AH21" s="14" t="s">
        <v>144</v>
      </c>
    </row>
    <row r="22" customFormat="false" ht="15" hidden="false" customHeight="false" outlineLevel="0" collapsed="false">
      <c r="A22" s="14" t="s">
        <v>261</v>
      </c>
      <c r="B22" s="14" t="s">
        <v>262</v>
      </c>
      <c r="C22" s="14" t="s">
        <v>68</v>
      </c>
      <c r="D22" s="14"/>
      <c r="E22" s="14" t="s">
        <v>6</v>
      </c>
      <c r="F22" s="14" t="s">
        <v>263</v>
      </c>
      <c r="G22" s="15" t="s">
        <v>113</v>
      </c>
      <c r="H22" s="14" t="s">
        <v>114</v>
      </c>
      <c r="I22" s="14" t="s">
        <v>115</v>
      </c>
      <c r="J22" s="14" t="s">
        <v>8</v>
      </c>
      <c r="K22" s="14" t="s">
        <v>73</v>
      </c>
      <c r="L22" s="15" t="s">
        <v>74</v>
      </c>
      <c r="M22" s="14" t="s">
        <v>264</v>
      </c>
      <c r="N22" s="16" t="s">
        <v>265</v>
      </c>
      <c r="O22" s="15"/>
      <c r="P22" s="15"/>
      <c r="Q22" s="15" t="n">
        <f aca="false">IFERROR(VLOOKUP(J22,Parametros!$A$5:$B$9,2,FALSE()),0)</f>
        <v>3</v>
      </c>
      <c r="R22" s="15" t="n">
        <f aca="false">IFERROR(VLOOKUP(H22,Parametros!$D$5:$E$23,2,FALSE()),1)</f>
        <v>2</v>
      </c>
      <c r="S22" s="15" t="n">
        <f aca="false">IF(OR(N(O22)&gt;=Parametros!$H$9,AND(N(P22)&gt;0,N(P22)&lt;=Parametros!$H$10)),1,0)</f>
        <v>0</v>
      </c>
      <c r="T22" s="15" t="n">
        <f aca="false">Q22+R22+S22</f>
        <v>5</v>
      </c>
      <c r="U22" s="15" t="str">
        <f aca="false">IF(OR(V22="Inactive",V22="No encontrada",V22="Duplicado"),"Descartada",IF(AND(T22&gt;=Parametros!$H$5,S22=1),"A",IF(T22&gt;=Parametros!$H$6,"B","C")))</f>
        <v>B</v>
      </c>
      <c r="V22" s="17" t="s">
        <v>94</v>
      </c>
      <c r="W22" s="17"/>
      <c r="X22" s="14" t="s">
        <v>266</v>
      </c>
      <c r="Y22" s="14"/>
      <c r="Z22" s="14"/>
      <c r="AA22" s="14"/>
      <c r="AB22" s="14"/>
      <c r="AC22" s="14"/>
      <c r="AD22" s="14"/>
      <c r="AE22" s="16" t="s">
        <v>265</v>
      </c>
      <c r="AF22" s="14" t="s">
        <v>267</v>
      </c>
      <c r="AG22" s="14" t="s">
        <v>268</v>
      </c>
      <c r="AH22" s="14" t="s">
        <v>269</v>
      </c>
    </row>
    <row r="23" customFormat="false" ht="15" hidden="false" customHeight="false" outlineLevel="0" collapsed="false">
      <c r="A23" s="14" t="s">
        <v>270</v>
      </c>
      <c r="B23" s="14" t="s">
        <v>271</v>
      </c>
      <c r="C23" s="14" t="s">
        <v>68</v>
      </c>
      <c r="D23" s="14"/>
      <c r="E23" s="14" t="s">
        <v>6</v>
      </c>
      <c r="F23" s="14" t="s">
        <v>112</v>
      </c>
      <c r="G23" s="15" t="s">
        <v>113</v>
      </c>
      <c r="H23" s="14" t="s">
        <v>114</v>
      </c>
      <c r="I23" s="14" t="s">
        <v>72</v>
      </c>
      <c r="J23" s="14" t="s">
        <v>199</v>
      </c>
      <c r="K23" s="14" t="s">
        <v>90</v>
      </c>
      <c r="L23" s="15" t="s">
        <v>91</v>
      </c>
      <c r="M23" s="14" t="s">
        <v>272</v>
      </c>
      <c r="N23" s="16" t="s">
        <v>273</v>
      </c>
      <c r="O23" s="15"/>
      <c r="P23" s="15" t="n">
        <v>1987</v>
      </c>
      <c r="Q23" s="15" t="n">
        <f aca="false">IFERROR(VLOOKUP(J23,Parametros!$A$5:$B$9,2,FALSE()),0)</f>
        <v>1</v>
      </c>
      <c r="R23" s="15" t="n">
        <f aca="false">IFERROR(VLOOKUP(H23,Parametros!$D$5:$E$23,2,FALSE()),1)</f>
        <v>2</v>
      </c>
      <c r="S23" s="15" t="n">
        <f aca="false">IF(OR(N(O23)&gt;=Parametros!$H$9,AND(N(P23)&gt;0,N(P23)&lt;=Parametros!$H$10)),1,0)</f>
        <v>1</v>
      </c>
      <c r="T23" s="15" t="n">
        <f aca="false">Q23+R23+S23</f>
        <v>4</v>
      </c>
      <c r="U23" s="15" t="str">
        <f aca="false">IF(OR(V23="Inactive",V23="No encontrada",V23="Duplicado"),"Descartada",IF(AND(T23&gt;=Parametros!$H$5,S23=1),"A",IF(T23&gt;=Parametros!$H$6,"B","C")))</f>
        <v>B</v>
      </c>
      <c r="V23" s="17" t="s">
        <v>94</v>
      </c>
      <c r="W23" s="17"/>
      <c r="X23" s="14" t="s">
        <v>274</v>
      </c>
      <c r="Y23" s="14" t="s">
        <v>275</v>
      </c>
      <c r="Z23" s="14"/>
      <c r="AA23" s="16" t="s">
        <v>276</v>
      </c>
      <c r="AB23" s="14"/>
      <c r="AC23" s="14"/>
      <c r="AD23" s="16" t="s">
        <v>273</v>
      </c>
      <c r="AE23" s="16" t="s">
        <v>277</v>
      </c>
      <c r="AF23" s="14"/>
      <c r="AG23" s="14" t="s">
        <v>206</v>
      </c>
      <c r="AH23" s="14" t="s">
        <v>120</v>
      </c>
    </row>
    <row r="24" customFormat="false" ht="15" hidden="false" customHeight="false" outlineLevel="0" collapsed="false">
      <c r="A24" s="14" t="s">
        <v>278</v>
      </c>
      <c r="B24" s="14" t="s">
        <v>279</v>
      </c>
      <c r="C24" s="14" t="s">
        <v>68</v>
      </c>
      <c r="D24" s="14"/>
      <c r="E24" s="14" t="s">
        <v>6</v>
      </c>
      <c r="F24" s="14" t="s">
        <v>280</v>
      </c>
      <c r="G24" s="15" t="s">
        <v>125</v>
      </c>
      <c r="H24" s="14" t="s">
        <v>126</v>
      </c>
      <c r="I24" s="14" t="s">
        <v>210</v>
      </c>
      <c r="J24" s="14" t="s">
        <v>8</v>
      </c>
      <c r="K24" s="14" t="s">
        <v>61</v>
      </c>
      <c r="L24" s="15" t="s">
        <v>91</v>
      </c>
      <c r="M24" s="14" t="s">
        <v>281</v>
      </c>
      <c r="N24" s="16" t="s">
        <v>282</v>
      </c>
      <c r="O24" s="15"/>
      <c r="P24" s="15"/>
      <c r="Q24" s="15" t="n">
        <f aca="false">IFERROR(VLOOKUP(J24,Parametros!$A$5:$B$9,2,FALSE()),0)</f>
        <v>3</v>
      </c>
      <c r="R24" s="15" t="n">
        <f aca="false">IFERROR(VLOOKUP(H24,Parametros!$D$5:$E$23,2,FALSE()),1)</f>
        <v>3</v>
      </c>
      <c r="S24" s="15" t="n">
        <f aca="false">IF(OR(N(O24)&gt;=Parametros!$H$9,AND(N(P24)&gt;0,N(P24)&lt;=Parametros!$H$10)),1,0)</f>
        <v>0</v>
      </c>
      <c r="T24" s="15" t="n">
        <f aca="false">Q24+R24+S24</f>
        <v>6</v>
      </c>
      <c r="U24" s="15" t="str">
        <f aca="false">IF(OR(V24="Inactive",V24="No encontrada",V24="Duplicado"),"Descartada",IF(AND(T24&gt;=Parametros!$H$5,S24=1),"A",IF(T24&gt;=Parametros!$H$6,"B","C")))</f>
        <v>B</v>
      </c>
      <c r="V24" s="17" t="s">
        <v>94</v>
      </c>
      <c r="W24" s="17"/>
      <c r="X24" s="14" t="s">
        <v>283</v>
      </c>
      <c r="Y24" s="14" t="s">
        <v>284</v>
      </c>
      <c r="Z24" s="14"/>
      <c r="AA24" s="14"/>
      <c r="AB24" s="14"/>
      <c r="AC24" s="14"/>
      <c r="AD24" s="16" t="s">
        <v>285</v>
      </c>
      <c r="AE24" s="16" t="s">
        <v>286</v>
      </c>
      <c r="AF24" s="14"/>
      <c r="AG24" s="14" t="s">
        <v>100</v>
      </c>
      <c r="AH24" s="14" t="s">
        <v>120</v>
      </c>
    </row>
    <row r="25" customFormat="false" ht="15" hidden="false" customHeight="false" outlineLevel="0" collapsed="false">
      <c r="A25" s="14" t="s">
        <v>287</v>
      </c>
      <c r="B25" s="14" t="s">
        <v>288</v>
      </c>
      <c r="C25" s="14" t="s">
        <v>68</v>
      </c>
      <c r="D25" s="14"/>
      <c r="E25" s="14" t="s">
        <v>6</v>
      </c>
      <c r="F25" s="14" t="s">
        <v>289</v>
      </c>
      <c r="G25" s="15" t="s">
        <v>88</v>
      </c>
      <c r="H25" s="14" t="s">
        <v>71</v>
      </c>
      <c r="I25" s="14" t="s">
        <v>72</v>
      </c>
      <c r="J25" s="14" t="s">
        <v>199</v>
      </c>
      <c r="K25" s="14" t="s">
        <v>90</v>
      </c>
      <c r="L25" s="15" t="s">
        <v>91</v>
      </c>
      <c r="M25" s="14" t="s">
        <v>290</v>
      </c>
      <c r="N25" s="16" t="s">
        <v>291</v>
      </c>
      <c r="O25" s="15"/>
      <c r="P25" s="15" t="n">
        <v>2003</v>
      </c>
      <c r="Q25" s="15" t="n">
        <f aca="false">IFERROR(VLOOKUP(J25,Parametros!$A$5:$B$9,2,FALSE()),0)</f>
        <v>1</v>
      </c>
      <c r="R25" s="15" t="n">
        <f aca="false">IFERROR(VLOOKUP(H25,Parametros!$D$5:$E$23,2,FALSE()),1)</f>
        <v>2</v>
      </c>
      <c r="S25" s="15" t="n">
        <f aca="false">IF(OR(N(O25)&gt;=Parametros!$H$9,AND(N(P25)&gt;0,N(P25)&lt;=Parametros!$H$10)),1,0)</f>
        <v>0</v>
      </c>
      <c r="T25" s="15" t="n">
        <f aca="false">Q25+R25+S25</f>
        <v>3</v>
      </c>
      <c r="U25" s="15" t="str">
        <f aca="false">IF(OR(V25="Inactive",V25="No encontrada",V25="Duplicado"),"Descartada",IF(AND(T25&gt;=Parametros!$H$5,S25=1),"A",IF(T25&gt;=Parametros!$H$6,"B","C")))</f>
        <v>C</v>
      </c>
      <c r="V25" s="17" t="s">
        <v>94</v>
      </c>
      <c r="W25" s="17"/>
      <c r="X25" s="14" t="s">
        <v>292</v>
      </c>
      <c r="Y25" s="14" t="s">
        <v>293</v>
      </c>
      <c r="Z25" s="14" t="s">
        <v>294</v>
      </c>
      <c r="AA25" s="16" t="s">
        <v>295</v>
      </c>
      <c r="AB25" s="14"/>
      <c r="AC25" s="14"/>
      <c r="AD25" s="16" t="s">
        <v>296</v>
      </c>
      <c r="AE25" s="16" t="s">
        <v>297</v>
      </c>
      <c r="AF25" s="14"/>
      <c r="AG25" s="14"/>
      <c r="AH25" s="14" t="s">
        <v>101</v>
      </c>
    </row>
    <row r="26" customFormat="false" ht="15" hidden="false" customHeight="false" outlineLevel="0" collapsed="false">
      <c r="A26" s="14" t="s">
        <v>298</v>
      </c>
      <c r="B26" s="14" t="s">
        <v>299</v>
      </c>
      <c r="C26" s="14" t="s">
        <v>86</v>
      </c>
      <c r="D26" s="14"/>
      <c r="E26" s="14" t="s">
        <v>6</v>
      </c>
      <c r="F26" s="14" t="s">
        <v>300</v>
      </c>
      <c r="G26" s="15" t="s">
        <v>136</v>
      </c>
      <c r="H26" s="14" t="s">
        <v>137</v>
      </c>
      <c r="I26" s="14" t="s">
        <v>72</v>
      </c>
      <c r="J26" s="14" t="s">
        <v>199</v>
      </c>
      <c r="K26" s="14" t="s">
        <v>301</v>
      </c>
      <c r="L26" s="15" t="s">
        <v>91</v>
      </c>
      <c r="M26" s="14" t="s">
        <v>302</v>
      </c>
      <c r="N26" s="16" t="s">
        <v>303</v>
      </c>
      <c r="O26" s="15" t="n">
        <v>17</v>
      </c>
      <c r="P26" s="15" t="n">
        <v>1989</v>
      </c>
      <c r="Q26" s="15" t="n">
        <f aca="false">IFERROR(VLOOKUP(J26,Parametros!$A$5:$B$9,2,FALSE()),0)</f>
        <v>1</v>
      </c>
      <c r="R26" s="15" t="n">
        <f aca="false">IFERROR(VLOOKUP(H26,Parametros!$D$5:$E$23,2,FALSE()),1)</f>
        <v>3</v>
      </c>
      <c r="S26" s="15" t="n">
        <f aca="false">IF(OR(N(O26)&gt;=Parametros!$H$9,AND(N(P26)&gt;0,N(P26)&lt;=Parametros!$H$10)),1,0)</f>
        <v>1</v>
      </c>
      <c r="T26" s="15" t="n">
        <f aca="false">Q26+R26+S26</f>
        <v>5</v>
      </c>
      <c r="U26" s="15" t="str">
        <f aca="false">IF(OR(V26="Inactive",V26="No encontrada",V26="Duplicado"),"Descartada",IF(AND(T26&gt;=Parametros!$H$5,S26=1),"A",IF(T26&gt;=Parametros!$H$6,"B","C")))</f>
        <v>B</v>
      </c>
      <c r="V26" s="17" t="s">
        <v>94</v>
      </c>
      <c r="W26" s="17"/>
      <c r="X26" s="14" t="s">
        <v>304</v>
      </c>
      <c r="Y26" s="14" t="s">
        <v>305</v>
      </c>
      <c r="Z26" s="14" t="s">
        <v>306</v>
      </c>
      <c r="AA26" s="16" t="s">
        <v>307</v>
      </c>
      <c r="AB26" s="16" t="s">
        <v>308</v>
      </c>
      <c r="AC26" s="14"/>
      <c r="AD26" s="14"/>
      <c r="AE26" s="16" t="s">
        <v>303</v>
      </c>
      <c r="AF26" s="14"/>
      <c r="AG26" s="14"/>
      <c r="AH26" s="14" t="s">
        <v>144</v>
      </c>
    </row>
    <row r="27" customFormat="false" ht="15" hidden="false" customHeight="false" outlineLevel="0" collapsed="false">
      <c r="A27" s="14" t="s">
        <v>309</v>
      </c>
      <c r="B27" s="14" t="s">
        <v>310</v>
      </c>
      <c r="C27" s="14" t="s">
        <v>86</v>
      </c>
      <c r="D27" s="14"/>
      <c r="E27" s="14" t="s">
        <v>6</v>
      </c>
      <c r="F27" s="14" t="s">
        <v>311</v>
      </c>
      <c r="G27" s="15" t="s">
        <v>113</v>
      </c>
      <c r="H27" s="14" t="s">
        <v>114</v>
      </c>
      <c r="I27" s="14" t="s">
        <v>72</v>
      </c>
      <c r="J27" s="14" t="s">
        <v>199</v>
      </c>
      <c r="K27" s="14" t="s">
        <v>312</v>
      </c>
      <c r="L27" s="15" t="s">
        <v>91</v>
      </c>
      <c r="M27" s="14" t="s">
        <v>313</v>
      </c>
      <c r="N27" s="16" t="s">
        <v>314</v>
      </c>
      <c r="O27" s="15"/>
      <c r="P27" s="15" t="n">
        <v>1978</v>
      </c>
      <c r="Q27" s="15" t="n">
        <f aca="false">IFERROR(VLOOKUP(J27,Parametros!$A$5:$B$9,2,FALSE()),0)</f>
        <v>1</v>
      </c>
      <c r="R27" s="15" t="n">
        <f aca="false">IFERROR(VLOOKUP(H27,Parametros!$D$5:$E$23,2,FALSE()),1)</f>
        <v>2</v>
      </c>
      <c r="S27" s="15" t="n">
        <f aca="false">IF(OR(N(O27)&gt;=Parametros!$H$9,AND(N(P27)&gt;0,N(P27)&lt;=Parametros!$H$10)),1,0)</f>
        <v>1</v>
      </c>
      <c r="T27" s="15" t="n">
        <f aca="false">Q27+R27+S27</f>
        <v>4</v>
      </c>
      <c r="U27" s="15" t="str">
        <f aca="false">IF(OR(V27="Inactive",V27="No encontrada",V27="Duplicado"),"Descartada",IF(AND(T27&gt;=Parametros!$H$5,S27=1),"A",IF(T27&gt;=Parametros!$H$6,"B","C")))</f>
        <v>B</v>
      </c>
      <c r="V27" s="17" t="s">
        <v>94</v>
      </c>
      <c r="W27" s="17"/>
      <c r="X27" s="14" t="s">
        <v>315</v>
      </c>
      <c r="Y27" s="14" t="s">
        <v>316</v>
      </c>
      <c r="Z27" s="14" t="s">
        <v>317</v>
      </c>
      <c r="AA27" s="16" t="s">
        <v>318</v>
      </c>
      <c r="AB27" s="14"/>
      <c r="AC27" s="16" t="s">
        <v>319</v>
      </c>
      <c r="AD27" s="16" t="s">
        <v>320</v>
      </c>
      <c r="AE27" s="16" t="s">
        <v>321</v>
      </c>
      <c r="AF27" s="14"/>
      <c r="AG27" s="14"/>
      <c r="AH27" s="14" t="s">
        <v>101</v>
      </c>
    </row>
    <row r="28" customFormat="false" ht="15" hidden="false" customHeight="false" outlineLevel="0" collapsed="false">
      <c r="A28" s="14" t="s">
        <v>322</v>
      </c>
      <c r="B28" s="14" t="s">
        <v>323</v>
      </c>
      <c r="C28" s="14" t="s">
        <v>86</v>
      </c>
      <c r="D28" s="14"/>
      <c r="E28" s="14" t="s">
        <v>6</v>
      </c>
      <c r="F28" s="14" t="s">
        <v>179</v>
      </c>
      <c r="G28" s="15" t="s">
        <v>180</v>
      </c>
      <c r="H28" s="14" t="s">
        <v>71</v>
      </c>
      <c r="I28" s="14" t="s">
        <v>72</v>
      </c>
      <c r="J28" s="14" t="s">
        <v>199</v>
      </c>
      <c r="K28" s="14" t="s">
        <v>324</v>
      </c>
      <c r="L28" s="15" t="s">
        <v>91</v>
      </c>
      <c r="M28" s="14" t="s">
        <v>325</v>
      </c>
      <c r="N28" s="16" t="s">
        <v>326</v>
      </c>
      <c r="O28" s="15"/>
      <c r="P28" s="15" t="n">
        <v>2010</v>
      </c>
      <c r="Q28" s="15" t="n">
        <f aca="false">IFERROR(VLOOKUP(J28,Parametros!$A$5:$B$9,2,FALSE()),0)</f>
        <v>1</v>
      </c>
      <c r="R28" s="15" t="n">
        <f aca="false">IFERROR(VLOOKUP(H28,Parametros!$D$5:$E$23,2,FALSE()),1)</f>
        <v>2</v>
      </c>
      <c r="S28" s="15" t="n">
        <f aca="false">IF(OR(N(O28)&gt;=Parametros!$H$9,AND(N(P28)&gt;0,N(P28)&lt;=Parametros!$H$10)),1,0)</f>
        <v>0</v>
      </c>
      <c r="T28" s="15" t="n">
        <f aca="false">Q28+R28+S28</f>
        <v>3</v>
      </c>
      <c r="U28" s="15" t="str">
        <f aca="false">IF(OR(V28="Inactive",V28="No encontrada",V28="Duplicado"),"Descartada",IF(AND(T28&gt;=Parametros!$H$5,S28=1),"A",IF(T28&gt;=Parametros!$H$6,"B","C")))</f>
        <v>C</v>
      </c>
      <c r="V28" s="17" t="s">
        <v>94</v>
      </c>
      <c r="W28" s="17"/>
      <c r="X28" s="14" t="s">
        <v>327</v>
      </c>
      <c r="Y28" s="14" t="s">
        <v>328</v>
      </c>
      <c r="Z28" s="14" t="s">
        <v>329</v>
      </c>
      <c r="AA28" s="16" t="s">
        <v>326</v>
      </c>
      <c r="AB28" s="14"/>
      <c r="AC28" s="16" t="s">
        <v>330</v>
      </c>
      <c r="AD28" s="14"/>
      <c r="AE28" s="16" t="s">
        <v>331</v>
      </c>
      <c r="AF28" s="14"/>
      <c r="AG28" s="14"/>
      <c r="AH28" s="14" t="s">
        <v>109</v>
      </c>
    </row>
    <row r="29" customFormat="false" ht="15" hidden="false" customHeight="false" outlineLevel="0" collapsed="false">
      <c r="A29" s="14" t="s">
        <v>332</v>
      </c>
      <c r="B29" s="14" t="s">
        <v>333</v>
      </c>
      <c r="C29" s="14" t="s">
        <v>86</v>
      </c>
      <c r="D29" s="14"/>
      <c r="E29" s="14" t="s">
        <v>6</v>
      </c>
      <c r="F29" s="14" t="s">
        <v>334</v>
      </c>
      <c r="G29" s="15" t="s">
        <v>88</v>
      </c>
      <c r="H29" s="14" t="s">
        <v>71</v>
      </c>
      <c r="I29" s="14" t="s">
        <v>72</v>
      </c>
      <c r="J29" s="14" t="s">
        <v>199</v>
      </c>
      <c r="K29" s="14" t="s">
        <v>61</v>
      </c>
      <c r="L29" s="15" t="s">
        <v>91</v>
      </c>
      <c r="M29" s="14" t="s">
        <v>335</v>
      </c>
      <c r="N29" s="16" t="s">
        <v>336</v>
      </c>
      <c r="O29" s="15"/>
      <c r="P29" s="15" t="n">
        <v>1994</v>
      </c>
      <c r="Q29" s="15" t="n">
        <f aca="false">IFERROR(VLOOKUP(J29,Parametros!$A$5:$B$9,2,FALSE()),0)</f>
        <v>1</v>
      </c>
      <c r="R29" s="15" t="n">
        <f aca="false">IFERROR(VLOOKUP(H29,Parametros!$D$5:$E$23,2,FALSE()),1)</f>
        <v>2</v>
      </c>
      <c r="S29" s="15" t="n">
        <f aca="false">IF(OR(N(O29)&gt;=Parametros!$H$9,AND(N(P29)&gt;0,N(P29)&lt;=Parametros!$H$10)),1,0)</f>
        <v>1</v>
      </c>
      <c r="T29" s="15" t="n">
        <f aca="false">Q29+R29+S29</f>
        <v>4</v>
      </c>
      <c r="U29" s="15" t="str">
        <f aca="false">IF(OR(V29="Inactive",V29="No encontrada",V29="Duplicado"),"Descartada",IF(AND(T29&gt;=Parametros!$H$5,S29=1),"A",IF(T29&gt;=Parametros!$H$6,"B","C")))</f>
        <v>B</v>
      </c>
      <c r="V29" s="17" t="s">
        <v>94</v>
      </c>
      <c r="W29" s="17"/>
      <c r="X29" s="14" t="s">
        <v>337</v>
      </c>
      <c r="Y29" s="14" t="s">
        <v>338</v>
      </c>
      <c r="Z29" s="14" t="s">
        <v>339</v>
      </c>
      <c r="AA29" s="14"/>
      <c r="AB29" s="14"/>
      <c r="AC29" s="14"/>
      <c r="AD29" s="16" t="s">
        <v>340</v>
      </c>
      <c r="AE29" s="16" t="s">
        <v>341</v>
      </c>
      <c r="AF29" s="14"/>
      <c r="AG29" s="14" t="s">
        <v>342</v>
      </c>
      <c r="AH29" s="14" t="s">
        <v>109</v>
      </c>
    </row>
    <row r="30" customFormat="false" ht="15" hidden="false" customHeight="false" outlineLevel="0" collapsed="false">
      <c r="A30" s="14" t="s">
        <v>343</v>
      </c>
      <c r="B30" s="14" t="s">
        <v>344</v>
      </c>
      <c r="C30" s="14" t="s">
        <v>86</v>
      </c>
      <c r="D30" s="14"/>
      <c r="E30" s="14" t="s">
        <v>6</v>
      </c>
      <c r="F30" s="14" t="s">
        <v>345</v>
      </c>
      <c r="G30" s="15" t="s">
        <v>224</v>
      </c>
      <c r="H30" s="14" t="s">
        <v>225</v>
      </c>
      <c r="I30" s="14" t="s">
        <v>115</v>
      </c>
      <c r="J30" s="14" t="s">
        <v>235</v>
      </c>
      <c r="K30" s="14" t="s">
        <v>61</v>
      </c>
      <c r="L30" s="15" t="s">
        <v>91</v>
      </c>
      <c r="M30" s="14" t="s">
        <v>346</v>
      </c>
      <c r="N30" s="16" t="s">
        <v>347</v>
      </c>
      <c r="O30" s="15"/>
      <c r="P30" s="15" t="n">
        <v>2012</v>
      </c>
      <c r="Q30" s="15" t="n">
        <f aca="false">IFERROR(VLOOKUP(J30,Parametros!$A$5:$B$9,2,FALSE()),0)</f>
        <v>2</v>
      </c>
      <c r="R30" s="15" t="n">
        <f aca="false">IFERROR(VLOOKUP(H30,Parametros!$D$5:$E$23,2,FALSE()),1)</f>
        <v>2</v>
      </c>
      <c r="S30" s="15" t="n">
        <f aca="false">IF(OR(N(O30)&gt;=Parametros!$H$9,AND(N(P30)&gt;0,N(P30)&lt;=Parametros!$H$10)),1,0)</f>
        <v>0</v>
      </c>
      <c r="T30" s="15" t="n">
        <f aca="false">Q30+R30+S30</f>
        <v>4</v>
      </c>
      <c r="U30" s="15" t="str">
        <f aca="false">IF(OR(V30="Inactive",V30="No encontrada",V30="Duplicado"),"Descartada",IF(AND(T30&gt;=Parametros!$H$5,S30=1),"A",IF(T30&gt;=Parametros!$H$6,"B","C")))</f>
        <v>B</v>
      </c>
      <c r="V30" s="17" t="s">
        <v>94</v>
      </c>
      <c r="W30" s="17"/>
      <c r="X30" s="14" t="s">
        <v>348</v>
      </c>
      <c r="Y30" s="14" t="s">
        <v>349</v>
      </c>
      <c r="Z30" s="14" t="s">
        <v>350</v>
      </c>
      <c r="AA30" s="14"/>
      <c r="AB30" s="14"/>
      <c r="AC30" s="14"/>
      <c r="AD30" s="16" t="s">
        <v>347</v>
      </c>
      <c r="AE30" s="16" t="s">
        <v>351</v>
      </c>
      <c r="AF30" s="14"/>
      <c r="AG30" s="14" t="s">
        <v>352</v>
      </c>
      <c r="AH30" s="14" t="s">
        <v>109</v>
      </c>
    </row>
    <row r="31" customFormat="false" ht="15" hidden="false" customHeight="false" outlineLevel="0" collapsed="false">
      <c r="A31" s="14" t="s">
        <v>353</v>
      </c>
      <c r="B31" s="14" t="s">
        <v>354</v>
      </c>
      <c r="C31" s="14" t="s">
        <v>86</v>
      </c>
      <c r="D31" s="14"/>
      <c r="E31" s="14" t="s">
        <v>6</v>
      </c>
      <c r="F31" s="14" t="s">
        <v>334</v>
      </c>
      <c r="G31" s="15" t="s">
        <v>88</v>
      </c>
      <c r="H31" s="14" t="s">
        <v>71</v>
      </c>
      <c r="I31" s="14" t="s">
        <v>210</v>
      </c>
      <c r="J31" s="14" t="s">
        <v>199</v>
      </c>
      <c r="K31" s="14" t="s">
        <v>61</v>
      </c>
      <c r="L31" s="15" t="s">
        <v>91</v>
      </c>
      <c r="M31" s="14" t="s">
        <v>245</v>
      </c>
      <c r="N31" s="16" t="s">
        <v>355</v>
      </c>
      <c r="O31" s="15"/>
      <c r="P31" s="15"/>
      <c r="Q31" s="15" t="n">
        <f aca="false">IFERROR(VLOOKUP(J31,Parametros!$A$5:$B$9,2,FALSE()),0)</f>
        <v>1</v>
      </c>
      <c r="R31" s="15" t="n">
        <f aca="false">IFERROR(VLOOKUP(H31,Parametros!$D$5:$E$23,2,FALSE()),1)</f>
        <v>2</v>
      </c>
      <c r="S31" s="15" t="n">
        <f aca="false">IF(OR(N(O31)&gt;=Parametros!$H$9,AND(N(P31)&gt;0,N(P31)&lt;=Parametros!$H$10)),1,0)</f>
        <v>0</v>
      </c>
      <c r="T31" s="15" t="n">
        <f aca="false">Q31+R31+S31</f>
        <v>3</v>
      </c>
      <c r="U31" s="15" t="str">
        <f aca="false">IF(OR(V31="Inactive",V31="No encontrada",V31="Duplicado"),"Descartada",IF(AND(T31&gt;=Parametros!$H$5,S31=1),"A",IF(T31&gt;=Parametros!$H$6,"B","C")))</f>
        <v>Descartada</v>
      </c>
      <c r="V31" s="17" t="s">
        <v>356</v>
      </c>
      <c r="W31" s="17"/>
      <c r="X31" s="14" t="s">
        <v>337</v>
      </c>
      <c r="Y31" s="14" t="s">
        <v>357</v>
      </c>
      <c r="Z31" s="14" t="s">
        <v>339</v>
      </c>
      <c r="AA31" s="14"/>
      <c r="AB31" s="14"/>
      <c r="AC31" s="14"/>
      <c r="AD31" s="16" t="s">
        <v>358</v>
      </c>
      <c r="AE31" s="16" t="s">
        <v>359</v>
      </c>
      <c r="AF31" s="14" t="s">
        <v>356</v>
      </c>
      <c r="AG31" s="14" t="s">
        <v>360</v>
      </c>
      <c r="AH31" s="14" t="s">
        <v>109</v>
      </c>
    </row>
    <row r="32" customFormat="false" ht="15" hidden="false" customHeight="false" outlineLevel="0" collapsed="false">
      <c r="A32" s="14" t="s">
        <v>361</v>
      </c>
      <c r="B32" s="14" t="s">
        <v>362</v>
      </c>
      <c r="C32" s="14" t="s">
        <v>86</v>
      </c>
      <c r="D32" s="14"/>
      <c r="E32" s="14" t="s">
        <v>6</v>
      </c>
      <c r="F32" s="14" t="s">
        <v>363</v>
      </c>
      <c r="G32" s="15" t="s">
        <v>224</v>
      </c>
      <c r="H32" s="14" t="s">
        <v>225</v>
      </c>
      <c r="I32" s="14" t="s">
        <v>72</v>
      </c>
      <c r="J32" s="14" t="s">
        <v>199</v>
      </c>
      <c r="K32" s="14" t="s">
        <v>61</v>
      </c>
      <c r="L32" s="15" t="s">
        <v>91</v>
      </c>
      <c r="M32" s="14" t="s">
        <v>364</v>
      </c>
      <c r="N32" s="16" t="s">
        <v>365</v>
      </c>
      <c r="O32" s="15"/>
      <c r="P32" s="15"/>
      <c r="Q32" s="15" t="n">
        <f aca="false">IFERROR(VLOOKUP(J32,Parametros!$A$5:$B$9,2,FALSE()),0)</f>
        <v>1</v>
      </c>
      <c r="R32" s="15" t="n">
        <f aca="false">IFERROR(VLOOKUP(H32,Parametros!$D$5:$E$23,2,FALSE()),1)</f>
        <v>2</v>
      </c>
      <c r="S32" s="15" t="n">
        <f aca="false">IF(OR(N(O32)&gt;=Parametros!$H$9,AND(N(P32)&gt;0,N(P32)&lt;=Parametros!$H$10)),1,0)</f>
        <v>0</v>
      </c>
      <c r="T32" s="15" t="n">
        <f aca="false">Q32+R32+S32</f>
        <v>3</v>
      </c>
      <c r="U32" s="15" t="str">
        <f aca="false">IF(OR(V32="Inactive",V32="No encontrada",V32="Duplicado"),"Descartada",IF(AND(T32&gt;=Parametros!$H$5,S32=1),"A",IF(T32&gt;=Parametros!$H$6,"B","C")))</f>
        <v>C</v>
      </c>
      <c r="V32" s="17" t="s">
        <v>94</v>
      </c>
      <c r="W32" s="17"/>
      <c r="X32" s="14" t="s">
        <v>366</v>
      </c>
      <c r="Y32" s="14" t="s">
        <v>367</v>
      </c>
      <c r="Z32" s="14" t="s">
        <v>368</v>
      </c>
      <c r="AA32" s="14"/>
      <c r="AB32" s="14"/>
      <c r="AC32" s="14"/>
      <c r="AD32" s="16" t="s">
        <v>369</v>
      </c>
      <c r="AE32" s="16" t="s">
        <v>370</v>
      </c>
      <c r="AF32" s="14"/>
      <c r="AG32" s="14"/>
      <c r="AH32" s="14" t="s">
        <v>232</v>
      </c>
    </row>
    <row r="33" customFormat="false" ht="15" hidden="false" customHeight="false" outlineLevel="0" collapsed="false">
      <c r="A33" s="14" t="s">
        <v>371</v>
      </c>
      <c r="B33" s="14" t="s">
        <v>372</v>
      </c>
      <c r="C33" s="14" t="s">
        <v>86</v>
      </c>
      <c r="D33" s="14"/>
      <c r="E33" s="14" t="s">
        <v>6</v>
      </c>
      <c r="F33" s="14" t="s">
        <v>363</v>
      </c>
      <c r="G33" s="15" t="s">
        <v>224</v>
      </c>
      <c r="H33" s="14" t="s">
        <v>225</v>
      </c>
      <c r="I33" s="14" t="s">
        <v>210</v>
      </c>
      <c r="J33" s="14" t="s">
        <v>199</v>
      </c>
      <c r="K33" s="14" t="s">
        <v>61</v>
      </c>
      <c r="L33" s="15" t="s">
        <v>91</v>
      </c>
      <c r="M33" s="14" t="s">
        <v>373</v>
      </c>
      <c r="N33" s="16" t="s">
        <v>374</v>
      </c>
      <c r="O33" s="15"/>
      <c r="P33" s="15"/>
      <c r="Q33" s="15" t="n">
        <f aca="false">IFERROR(VLOOKUP(J33,Parametros!$A$5:$B$9,2,FALSE()),0)</f>
        <v>1</v>
      </c>
      <c r="R33" s="15" t="n">
        <f aca="false">IFERROR(VLOOKUP(H33,Parametros!$D$5:$E$23,2,FALSE()),1)</f>
        <v>2</v>
      </c>
      <c r="S33" s="15" t="n">
        <f aca="false">IF(OR(N(O33)&gt;=Parametros!$H$9,AND(N(P33)&gt;0,N(P33)&lt;=Parametros!$H$10)),1,0)</f>
        <v>0</v>
      </c>
      <c r="T33" s="15" t="n">
        <f aca="false">Q33+R33+S33</f>
        <v>3</v>
      </c>
      <c r="U33" s="15" t="str">
        <f aca="false">IF(OR(V33="Inactive",V33="No encontrada",V33="Duplicado"),"Descartada",IF(AND(T33&gt;=Parametros!$H$5,S33=1),"A",IF(T33&gt;=Parametros!$H$6,"B","C")))</f>
        <v>C</v>
      </c>
      <c r="V33" s="17" t="s">
        <v>94</v>
      </c>
      <c r="W33" s="17"/>
      <c r="X33" s="14" t="s">
        <v>375</v>
      </c>
      <c r="Y33" s="14" t="s">
        <v>376</v>
      </c>
      <c r="Z33" s="14" t="s">
        <v>377</v>
      </c>
      <c r="AA33" s="14"/>
      <c r="AB33" s="14"/>
      <c r="AC33" s="14"/>
      <c r="AD33" s="16" t="s">
        <v>374</v>
      </c>
      <c r="AE33" s="16" t="s">
        <v>378</v>
      </c>
      <c r="AF33" s="14"/>
      <c r="AG33" s="14"/>
      <c r="AH33" s="14" t="s">
        <v>232</v>
      </c>
    </row>
    <row r="34" customFormat="false" ht="15" hidden="false" customHeight="false" outlineLevel="0" collapsed="false">
      <c r="A34" s="14" t="s">
        <v>379</v>
      </c>
      <c r="B34" s="14" t="s">
        <v>380</v>
      </c>
      <c r="C34" s="14" t="s">
        <v>86</v>
      </c>
      <c r="D34" s="14"/>
      <c r="E34" s="14" t="s">
        <v>6</v>
      </c>
      <c r="F34" s="14" t="s">
        <v>363</v>
      </c>
      <c r="G34" s="15" t="s">
        <v>224</v>
      </c>
      <c r="H34" s="14" t="s">
        <v>225</v>
      </c>
      <c r="I34" s="14" t="s">
        <v>210</v>
      </c>
      <c r="J34" s="14" t="s">
        <v>8</v>
      </c>
      <c r="K34" s="14" t="s">
        <v>90</v>
      </c>
      <c r="L34" s="15" t="s">
        <v>91</v>
      </c>
      <c r="M34" s="14" t="s">
        <v>373</v>
      </c>
      <c r="N34" s="16" t="s">
        <v>381</v>
      </c>
      <c r="O34" s="15"/>
      <c r="P34" s="15"/>
      <c r="Q34" s="15" t="n">
        <f aca="false">IFERROR(VLOOKUP(J34,Parametros!$A$5:$B$9,2,FALSE()),0)</f>
        <v>3</v>
      </c>
      <c r="R34" s="15" t="n">
        <f aca="false">IFERROR(VLOOKUP(H34,Parametros!$D$5:$E$23,2,FALSE()),1)</f>
        <v>2</v>
      </c>
      <c r="S34" s="15" t="n">
        <f aca="false">IF(OR(N(O34)&gt;=Parametros!$H$9,AND(N(P34)&gt;0,N(P34)&lt;=Parametros!$H$10)),1,0)</f>
        <v>0</v>
      </c>
      <c r="T34" s="15" t="n">
        <f aca="false">Q34+R34+S34</f>
        <v>5</v>
      </c>
      <c r="U34" s="15" t="str">
        <f aca="false">IF(OR(V34="Inactive",V34="No encontrada",V34="Duplicado"),"Descartada",IF(AND(T34&gt;=Parametros!$H$5,S34=1),"A",IF(T34&gt;=Parametros!$H$6,"B","C")))</f>
        <v>B</v>
      </c>
      <c r="V34" s="17" t="s">
        <v>94</v>
      </c>
      <c r="W34" s="17"/>
      <c r="X34" s="14" t="s">
        <v>382</v>
      </c>
      <c r="Y34" s="14" t="s">
        <v>383</v>
      </c>
      <c r="Z34" s="14"/>
      <c r="AA34" s="16" t="s">
        <v>384</v>
      </c>
      <c r="AB34" s="14"/>
      <c r="AC34" s="14"/>
      <c r="AD34" s="16" t="s">
        <v>381</v>
      </c>
      <c r="AE34" s="16" t="s">
        <v>381</v>
      </c>
      <c r="AF34" s="14"/>
      <c r="AG34" s="14" t="s">
        <v>100</v>
      </c>
      <c r="AH34" s="14" t="s">
        <v>232</v>
      </c>
    </row>
    <row r="35" customFormat="false" ht="15" hidden="false" customHeight="false" outlineLevel="0" collapsed="false">
      <c r="A35" s="14" t="s">
        <v>385</v>
      </c>
      <c r="B35" s="14" t="s">
        <v>386</v>
      </c>
      <c r="C35" s="14" t="s">
        <v>86</v>
      </c>
      <c r="D35" s="14"/>
      <c r="E35" s="14" t="s">
        <v>6</v>
      </c>
      <c r="F35" s="14" t="s">
        <v>387</v>
      </c>
      <c r="G35" s="15" t="s">
        <v>113</v>
      </c>
      <c r="H35" s="14" t="s">
        <v>114</v>
      </c>
      <c r="I35" s="14" t="s">
        <v>72</v>
      </c>
      <c r="J35" s="14" t="s">
        <v>199</v>
      </c>
      <c r="K35" s="14" t="s">
        <v>60</v>
      </c>
      <c r="L35" s="15" t="s">
        <v>91</v>
      </c>
      <c r="M35" s="14" t="s">
        <v>388</v>
      </c>
      <c r="N35" s="16" t="s">
        <v>389</v>
      </c>
      <c r="O35" s="15"/>
      <c r="P35" s="15" t="n">
        <v>1998</v>
      </c>
      <c r="Q35" s="15" t="n">
        <f aca="false">IFERROR(VLOOKUP(J35,Parametros!$A$5:$B$9,2,FALSE()),0)</f>
        <v>1</v>
      </c>
      <c r="R35" s="15" t="n">
        <f aca="false">IFERROR(VLOOKUP(H35,Parametros!$D$5:$E$23,2,FALSE()),1)</f>
        <v>2</v>
      </c>
      <c r="S35" s="15" t="n">
        <f aca="false">IF(OR(N(O35)&gt;=Parametros!$H$9,AND(N(P35)&gt;0,N(P35)&lt;=Parametros!$H$10)),1,0)</f>
        <v>1</v>
      </c>
      <c r="T35" s="15" t="n">
        <f aca="false">Q35+R35+S35</f>
        <v>4</v>
      </c>
      <c r="U35" s="15" t="str">
        <f aca="false">IF(OR(V35="Inactive",V35="No encontrada",V35="Duplicado"),"Descartada",IF(AND(T35&gt;=Parametros!$H$5,S35=1),"A",IF(T35&gt;=Parametros!$H$6,"B","C")))</f>
        <v>B</v>
      </c>
      <c r="V35" s="17" t="s">
        <v>94</v>
      </c>
      <c r="W35" s="17"/>
      <c r="X35" s="14" t="s">
        <v>390</v>
      </c>
      <c r="Y35" s="14" t="s">
        <v>391</v>
      </c>
      <c r="Z35" s="14" t="s">
        <v>392</v>
      </c>
      <c r="AA35" s="14"/>
      <c r="AB35" s="14"/>
      <c r="AC35" s="16" t="s">
        <v>393</v>
      </c>
      <c r="AD35" s="14"/>
      <c r="AE35" s="16" t="s">
        <v>394</v>
      </c>
      <c r="AF35" s="14"/>
      <c r="AG35" s="14"/>
      <c r="AH35" s="14" t="s">
        <v>269</v>
      </c>
    </row>
    <row r="36" customFormat="false" ht="15" hidden="false" customHeight="false" outlineLevel="0" collapsed="false">
      <c r="A36" s="14" t="s">
        <v>395</v>
      </c>
      <c r="B36" s="14" t="s">
        <v>396</v>
      </c>
      <c r="C36" s="14" t="s">
        <v>86</v>
      </c>
      <c r="D36" s="14"/>
      <c r="E36" s="14" t="s">
        <v>6</v>
      </c>
      <c r="F36" s="14" t="s">
        <v>397</v>
      </c>
      <c r="G36" s="15" t="s">
        <v>113</v>
      </c>
      <c r="H36" s="14" t="s">
        <v>114</v>
      </c>
      <c r="I36" s="14" t="s">
        <v>72</v>
      </c>
      <c r="J36" s="14" t="s">
        <v>148</v>
      </c>
      <c r="K36" s="14" t="s">
        <v>398</v>
      </c>
      <c r="L36" s="15" t="s">
        <v>91</v>
      </c>
      <c r="M36" s="14" t="s">
        <v>399</v>
      </c>
      <c r="N36" s="16" t="s">
        <v>400</v>
      </c>
      <c r="O36" s="15"/>
      <c r="P36" s="15"/>
      <c r="Q36" s="15" t="n">
        <f aca="false">IFERROR(VLOOKUP(J36,Parametros!$A$5:$B$9,2,FALSE()),0)</f>
        <v>3</v>
      </c>
      <c r="R36" s="15" t="n">
        <f aca="false">IFERROR(VLOOKUP(H36,Parametros!$D$5:$E$23,2,FALSE()),1)</f>
        <v>2</v>
      </c>
      <c r="S36" s="15" t="n">
        <f aca="false">IF(OR(N(O36)&gt;=Parametros!$H$9,AND(N(P36)&gt;0,N(P36)&lt;=Parametros!$H$10)),1,0)</f>
        <v>0</v>
      </c>
      <c r="T36" s="15" t="n">
        <f aca="false">Q36+R36+S36</f>
        <v>5</v>
      </c>
      <c r="U36" s="15" t="str">
        <f aca="false">IF(OR(V36="Inactive",V36="No encontrada",V36="Duplicado"),"Descartada",IF(AND(T36&gt;=Parametros!$H$5,S36=1),"A",IF(T36&gt;=Parametros!$H$6,"B","C")))</f>
        <v>B</v>
      </c>
      <c r="V36" s="17" t="s">
        <v>94</v>
      </c>
      <c r="W36" s="17"/>
      <c r="X36" s="14" t="s">
        <v>401</v>
      </c>
      <c r="Y36" s="14" t="s">
        <v>402</v>
      </c>
      <c r="Z36" s="14" t="s">
        <v>403</v>
      </c>
      <c r="AA36" s="14"/>
      <c r="AB36" s="14"/>
      <c r="AC36" s="16" t="s">
        <v>404</v>
      </c>
      <c r="AD36" s="16" t="s">
        <v>405</v>
      </c>
      <c r="AE36" s="16" t="s">
        <v>406</v>
      </c>
      <c r="AF36" s="14"/>
      <c r="AG36" s="14"/>
      <c r="AH36" s="14" t="s">
        <v>101</v>
      </c>
    </row>
    <row r="37" customFormat="false" ht="15" hidden="false" customHeight="false" outlineLevel="0" collapsed="false">
      <c r="A37" s="14" t="s">
        <v>407</v>
      </c>
      <c r="B37" s="14" t="s">
        <v>408</v>
      </c>
      <c r="C37" s="14" t="s">
        <v>86</v>
      </c>
      <c r="D37" s="14"/>
      <c r="E37" s="14" t="s">
        <v>6</v>
      </c>
      <c r="F37" s="14" t="s">
        <v>409</v>
      </c>
      <c r="G37" s="15" t="s">
        <v>180</v>
      </c>
      <c r="H37" s="14" t="s">
        <v>71</v>
      </c>
      <c r="I37" s="14" t="s">
        <v>72</v>
      </c>
      <c r="J37" s="14" t="s">
        <v>199</v>
      </c>
      <c r="K37" s="14" t="s">
        <v>324</v>
      </c>
      <c r="L37" s="15" t="s">
        <v>91</v>
      </c>
      <c r="M37" s="14" t="s">
        <v>410</v>
      </c>
      <c r="N37" s="16" t="s">
        <v>411</v>
      </c>
      <c r="O37" s="15"/>
      <c r="P37" s="15" t="n">
        <v>1996</v>
      </c>
      <c r="Q37" s="15" t="n">
        <f aca="false">IFERROR(VLOOKUP(J37,Parametros!$A$5:$B$9,2,FALSE()),0)</f>
        <v>1</v>
      </c>
      <c r="R37" s="15" t="n">
        <f aca="false">IFERROR(VLOOKUP(H37,Parametros!$D$5:$E$23,2,FALSE()),1)</f>
        <v>2</v>
      </c>
      <c r="S37" s="15" t="n">
        <f aca="false">IF(OR(N(O37)&gt;=Parametros!$H$9,AND(N(P37)&gt;0,N(P37)&lt;=Parametros!$H$10)),1,0)</f>
        <v>1</v>
      </c>
      <c r="T37" s="15" t="n">
        <f aca="false">Q37+R37+S37</f>
        <v>4</v>
      </c>
      <c r="U37" s="15" t="str">
        <f aca="false">IF(OR(V37="Inactive",V37="No encontrada",V37="Duplicado"),"Descartada",IF(AND(T37&gt;=Parametros!$H$5,S37=1),"A",IF(T37&gt;=Parametros!$H$6,"B","C")))</f>
        <v>B</v>
      </c>
      <c r="V37" s="17" t="s">
        <v>94</v>
      </c>
      <c r="W37" s="17"/>
      <c r="X37" s="14" t="s">
        <v>412</v>
      </c>
      <c r="Y37" s="14" t="s">
        <v>413</v>
      </c>
      <c r="Z37" s="14" t="s">
        <v>414</v>
      </c>
      <c r="AA37" s="16" t="s">
        <v>415</v>
      </c>
      <c r="AB37" s="14"/>
      <c r="AC37" s="16" t="s">
        <v>416</v>
      </c>
      <c r="AD37" s="14"/>
      <c r="AE37" s="16" t="s">
        <v>417</v>
      </c>
      <c r="AF37" s="14"/>
      <c r="AG37" s="14"/>
      <c r="AH37" s="14" t="s">
        <v>101</v>
      </c>
    </row>
    <row r="38" customFormat="false" ht="15" hidden="false" customHeight="false" outlineLevel="0" collapsed="false">
      <c r="A38" s="14" t="s">
        <v>418</v>
      </c>
      <c r="B38" s="14" t="s">
        <v>419</v>
      </c>
      <c r="C38" s="14" t="s">
        <v>420</v>
      </c>
      <c r="D38" s="14"/>
      <c r="E38" s="14" t="s">
        <v>6</v>
      </c>
      <c r="F38" s="14" t="s">
        <v>421</v>
      </c>
      <c r="G38" s="15" t="s">
        <v>136</v>
      </c>
      <c r="H38" s="14" t="s">
        <v>137</v>
      </c>
      <c r="I38" s="14" t="s">
        <v>72</v>
      </c>
      <c r="J38" s="14" t="s">
        <v>199</v>
      </c>
      <c r="K38" s="14" t="s">
        <v>61</v>
      </c>
      <c r="L38" s="15" t="s">
        <v>91</v>
      </c>
      <c r="M38" s="14" t="s">
        <v>422</v>
      </c>
      <c r="N38" s="16" t="s">
        <v>423</v>
      </c>
      <c r="O38" s="15" t="n">
        <v>50</v>
      </c>
      <c r="P38" s="15" t="n">
        <v>1999</v>
      </c>
      <c r="Q38" s="15" t="n">
        <f aca="false">IFERROR(VLOOKUP(J38,Parametros!$A$5:$B$9,2,FALSE()),0)</f>
        <v>1</v>
      </c>
      <c r="R38" s="15" t="n">
        <f aca="false">IFERROR(VLOOKUP(H38,Parametros!$D$5:$E$23,2,FALSE()),1)</f>
        <v>3</v>
      </c>
      <c r="S38" s="15" t="n">
        <f aca="false">IF(OR(N(O38)&gt;=Parametros!$H$9,AND(N(P38)&gt;0,N(P38)&lt;=Parametros!$H$10)),1,0)</f>
        <v>1</v>
      </c>
      <c r="T38" s="15" t="n">
        <f aca="false">Q38+R38+S38</f>
        <v>5</v>
      </c>
      <c r="U38" s="15" t="str">
        <f aca="false">IF(OR(V38="Inactive",V38="No encontrada",V38="Duplicado"),"Descartada",IF(AND(T38&gt;=Parametros!$H$5,S38=1),"A",IF(T38&gt;=Parametros!$H$6,"B","C")))</f>
        <v>B</v>
      </c>
      <c r="V38" s="17" t="s">
        <v>94</v>
      </c>
      <c r="W38" s="17"/>
      <c r="X38" s="14" t="s">
        <v>424</v>
      </c>
      <c r="Y38" s="14" t="s">
        <v>425</v>
      </c>
      <c r="Z38" s="14" t="s">
        <v>426</v>
      </c>
      <c r="AA38" s="14"/>
      <c r="AB38" s="14"/>
      <c r="AC38" s="14"/>
      <c r="AD38" s="16" t="s">
        <v>427</v>
      </c>
      <c r="AE38" s="16" t="s">
        <v>428</v>
      </c>
      <c r="AF38" s="14"/>
      <c r="AG38" s="14"/>
      <c r="AH38" s="14" t="s">
        <v>144</v>
      </c>
    </row>
    <row r="39" customFormat="false" ht="15" hidden="false" customHeight="false" outlineLevel="0" collapsed="false">
      <c r="A39" s="14" t="s">
        <v>429</v>
      </c>
      <c r="B39" s="14" t="s">
        <v>430</v>
      </c>
      <c r="C39" s="14" t="s">
        <v>420</v>
      </c>
      <c r="D39" s="14"/>
      <c r="E39" s="14" t="s">
        <v>6</v>
      </c>
      <c r="F39" s="14" t="s">
        <v>135</v>
      </c>
      <c r="G39" s="15" t="s">
        <v>136</v>
      </c>
      <c r="H39" s="14" t="s">
        <v>137</v>
      </c>
      <c r="I39" s="14" t="s">
        <v>72</v>
      </c>
      <c r="J39" s="14" t="s">
        <v>199</v>
      </c>
      <c r="K39" s="14" t="s">
        <v>61</v>
      </c>
      <c r="L39" s="15" t="s">
        <v>91</v>
      </c>
      <c r="M39" s="14" t="s">
        <v>431</v>
      </c>
      <c r="N39" s="16" t="s">
        <v>432</v>
      </c>
      <c r="O39" s="15"/>
      <c r="P39" s="15" t="n">
        <v>2004</v>
      </c>
      <c r="Q39" s="15" t="n">
        <f aca="false">IFERROR(VLOOKUP(J39,Parametros!$A$5:$B$9,2,FALSE()),0)</f>
        <v>1</v>
      </c>
      <c r="R39" s="15" t="n">
        <f aca="false">IFERROR(VLOOKUP(H39,Parametros!$D$5:$E$23,2,FALSE()),1)</f>
        <v>3</v>
      </c>
      <c r="S39" s="15" t="n">
        <f aca="false">IF(OR(N(O39)&gt;=Parametros!$H$9,AND(N(P39)&gt;0,N(P39)&lt;=Parametros!$H$10)),1,0)</f>
        <v>0</v>
      </c>
      <c r="T39" s="15" t="n">
        <f aca="false">Q39+R39+S39</f>
        <v>4</v>
      </c>
      <c r="U39" s="15" t="str">
        <f aca="false">IF(OR(V39="Inactive",V39="No encontrada",V39="Duplicado"),"Descartada",IF(AND(T39&gt;=Parametros!$H$5,S39=1),"A",IF(T39&gt;=Parametros!$H$6,"B","C")))</f>
        <v>B</v>
      </c>
      <c r="V39" s="17" t="s">
        <v>94</v>
      </c>
      <c r="W39" s="17"/>
      <c r="X39" s="14" t="s">
        <v>433</v>
      </c>
      <c r="Y39" s="14" t="s">
        <v>434</v>
      </c>
      <c r="Z39" s="14" t="s">
        <v>435</v>
      </c>
      <c r="AA39" s="14"/>
      <c r="AB39" s="14"/>
      <c r="AC39" s="14"/>
      <c r="AD39" s="16" t="s">
        <v>436</v>
      </c>
      <c r="AE39" s="16" t="s">
        <v>437</v>
      </c>
      <c r="AF39" s="14"/>
      <c r="AG39" s="14"/>
      <c r="AH39" s="14" t="s">
        <v>144</v>
      </c>
    </row>
    <row r="40" customFormat="false" ht="15" hidden="false" customHeight="false" outlineLevel="0" collapsed="false">
      <c r="A40" s="14" t="s">
        <v>438</v>
      </c>
      <c r="B40" s="14" t="s">
        <v>439</v>
      </c>
      <c r="C40" s="14" t="s">
        <v>420</v>
      </c>
      <c r="D40" s="14"/>
      <c r="E40" s="14" t="s">
        <v>6</v>
      </c>
      <c r="F40" s="14" t="s">
        <v>135</v>
      </c>
      <c r="G40" s="15" t="s">
        <v>136</v>
      </c>
      <c r="H40" s="14" t="s">
        <v>137</v>
      </c>
      <c r="I40" s="14" t="s">
        <v>89</v>
      </c>
      <c r="J40" s="14" t="s">
        <v>199</v>
      </c>
      <c r="K40" s="14" t="s">
        <v>58</v>
      </c>
      <c r="L40" s="15" t="s">
        <v>91</v>
      </c>
      <c r="M40" s="14" t="s">
        <v>245</v>
      </c>
      <c r="N40" s="16" t="s">
        <v>440</v>
      </c>
      <c r="O40" s="15"/>
      <c r="P40" s="15"/>
      <c r="Q40" s="15" t="n">
        <f aca="false">IFERROR(VLOOKUP(J40,Parametros!$A$5:$B$9,2,FALSE()),0)</f>
        <v>1</v>
      </c>
      <c r="R40" s="15" t="n">
        <f aca="false">IFERROR(VLOOKUP(H40,Parametros!$D$5:$E$23,2,FALSE()),1)</f>
        <v>3</v>
      </c>
      <c r="S40" s="15" t="n">
        <f aca="false">IF(OR(N(O40)&gt;=Parametros!$H$9,AND(N(P40)&gt;0,N(P40)&lt;=Parametros!$H$10)),1,0)</f>
        <v>0</v>
      </c>
      <c r="T40" s="15" t="n">
        <f aca="false">Q40+R40+S40</f>
        <v>4</v>
      </c>
      <c r="U40" s="15" t="str">
        <f aca="false">IF(OR(V40="Inactive",V40="No encontrada",V40="Duplicado"),"Descartada",IF(AND(T40&gt;=Parametros!$H$5,S40=1),"A",IF(T40&gt;=Parametros!$H$6,"B","C")))</f>
        <v>B</v>
      </c>
      <c r="V40" s="17" t="s">
        <v>94</v>
      </c>
      <c r="W40" s="17"/>
      <c r="X40" s="14" t="s">
        <v>441</v>
      </c>
      <c r="Y40" s="14" t="s">
        <v>442</v>
      </c>
      <c r="Z40" s="14" t="s">
        <v>443</v>
      </c>
      <c r="AA40" s="16" t="s">
        <v>444</v>
      </c>
      <c r="AB40" s="14"/>
      <c r="AC40" s="14"/>
      <c r="AD40" s="14"/>
      <c r="AE40" s="16" t="s">
        <v>445</v>
      </c>
      <c r="AF40" s="14"/>
      <c r="AG40" s="14" t="s">
        <v>446</v>
      </c>
      <c r="AH40" s="14" t="s">
        <v>144</v>
      </c>
    </row>
    <row r="41" customFormat="false" ht="23.85" hidden="false" customHeight="false" outlineLevel="0" collapsed="false">
      <c r="A41" s="14" t="s">
        <v>447</v>
      </c>
      <c r="B41" s="14" t="s">
        <v>448</v>
      </c>
      <c r="C41" s="14" t="s">
        <v>420</v>
      </c>
      <c r="D41" s="14"/>
      <c r="E41" s="14" t="s">
        <v>6</v>
      </c>
      <c r="F41" s="14" t="s">
        <v>449</v>
      </c>
      <c r="G41" s="15" t="s">
        <v>113</v>
      </c>
      <c r="H41" s="14" t="s">
        <v>114</v>
      </c>
      <c r="I41" s="14" t="s">
        <v>89</v>
      </c>
      <c r="J41" s="14" t="s">
        <v>199</v>
      </c>
      <c r="K41" s="14" t="s">
        <v>73</v>
      </c>
      <c r="L41" s="15" t="s">
        <v>74</v>
      </c>
      <c r="M41" s="14" t="s">
        <v>450</v>
      </c>
      <c r="N41" s="16" t="s">
        <v>451</v>
      </c>
      <c r="O41" s="15" t="n">
        <v>11</v>
      </c>
      <c r="P41" s="15" t="n">
        <v>1981</v>
      </c>
      <c r="Q41" s="15" t="n">
        <f aca="false">IFERROR(VLOOKUP(J41,Parametros!$A$5:$B$9,2,FALSE()),0)</f>
        <v>1</v>
      </c>
      <c r="R41" s="15" t="n">
        <f aca="false">IFERROR(VLOOKUP(H41,Parametros!$D$5:$E$23,2,FALSE()),1)</f>
        <v>2</v>
      </c>
      <c r="S41" s="15" t="n">
        <f aca="false">IF(OR(N(O41)&gt;=Parametros!$H$9,AND(N(P41)&gt;0,N(P41)&lt;=Parametros!$H$10)),1,0)</f>
        <v>1</v>
      </c>
      <c r="T41" s="15" t="n">
        <f aca="false">Q41+R41+S41</f>
        <v>4</v>
      </c>
      <c r="U41" s="15" t="str">
        <f aca="false">IF(OR(V41="Inactive",V41="No encontrada",V41="Duplicado"),"Descartada",IF(AND(T41&gt;=Parametros!$H$5,S41=1),"A",IF(T41&gt;=Parametros!$H$6,"B","C")))</f>
        <v>B</v>
      </c>
      <c r="V41" s="17" t="s">
        <v>94</v>
      </c>
      <c r="W41" s="17"/>
      <c r="X41" s="14"/>
      <c r="Y41" s="14"/>
      <c r="Z41" s="14"/>
      <c r="AA41" s="14"/>
      <c r="AB41" s="14"/>
      <c r="AC41" s="14"/>
      <c r="AD41" s="14"/>
      <c r="AE41" s="14"/>
      <c r="AF41" s="14" t="s">
        <v>452</v>
      </c>
      <c r="AG41" s="14" t="s">
        <v>453</v>
      </c>
      <c r="AH41" s="14" t="s">
        <v>269</v>
      </c>
    </row>
    <row r="42" customFormat="false" ht="15" hidden="false" customHeight="false" outlineLevel="0" collapsed="false">
      <c r="A42" s="14" t="s">
        <v>454</v>
      </c>
      <c r="B42" s="14" t="s">
        <v>455</v>
      </c>
      <c r="C42" s="14" t="s">
        <v>420</v>
      </c>
      <c r="D42" s="14"/>
      <c r="E42" s="14" t="s">
        <v>6</v>
      </c>
      <c r="F42" s="14" t="s">
        <v>456</v>
      </c>
      <c r="G42" s="15" t="s">
        <v>113</v>
      </c>
      <c r="H42" s="14" t="s">
        <v>114</v>
      </c>
      <c r="I42" s="14" t="s">
        <v>89</v>
      </c>
      <c r="J42" s="14" t="s">
        <v>199</v>
      </c>
      <c r="K42" s="14" t="s">
        <v>73</v>
      </c>
      <c r="L42" s="15" t="s">
        <v>74</v>
      </c>
      <c r="M42" s="14" t="s">
        <v>457</v>
      </c>
      <c r="N42" s="16" t="s">
        <v>458</v>
      </c>
      <c r="O42" s="15"/>
      <c r="P42" s="15"/>
      <c r="Q42" s="15" t="n">
        <f aca="false">IFERROR(VLOOKUP(J42,Parametros!$A$5:$B$9,2,FALSE()),0)</f>
        <v>1</v>
      </c>
      <c r="R42" s="15" t="n">
        <f aca="false">IFERROR(VLOOKUP(H42,Parametros!$D$5:$E$23,2,FALSE()),1)</f>
        <v>2</v>
      </c>
      <c r="S42" s="15" t="n">
        <f aca="false">IF(OR(N(O42)&gt;=Parametros!$H$9,AND(N(P42)&gt;0,N(P42)&lt;=Parametros!$H$10)),1,0)</f>
        <v>0</v>
      </c>
      <c r="T42" s="15" t="n">
        <f aca="false">Q42+R42+S42</f>
        <v>3</v>
      </c>
      <c r="U42" s="15" t="str">
        <f aca="false">IF(OR(V42="Inactive",V42="No encontrada",V42="Duplicado"),"Descartada",IF(AND(T42&gt;=Parametros!$H$5,S42=1),"A",IF(T42&gt;=Parametros!$H$6,"B","C")))</f>
        <v>C</v>
      </c>
      <c r="V42" s="17" t="s">
        <v>94</v>
      </c>
      <c r="W42" s="17"/>
      <c r="X42" s="14" t="s">
        <v>459</v>
      </c>
      <c r="Y42" s="14" t="s">
        <v>460</v>
      </c>
      <c r="Z42" s="14" t="s">
        <v>461</v>
      </c>
      <c r="AA42" s="14"/>
      <c r="AB42" s="14"/>
      <c r="AC42" s="14"/>
      <c r="AD42" s="14"/>
      <c r="AE42" s="16" t="s">
        <v>462</v>
      </c>
      <c r="AF42" s="14"/>
      <c r="AG42" s="14"/>
      <c r="AH42" s="14" t="s">
        <v>269</v>
      </c>
    </row>
    <row r="43" customFormat="false" ht="15" hidden="false" customHeight="false" outlineLevel="0" collapsed="false">
      <c r="A43" s="14" t="s">
        <v>463</v>
      </c>
      <c r="B43" s="14" t="s">
        <v>464</v>
      </c>
      <c r="C43" s="14" t="s">
        <v>420</v>
      </c>
      <c r="D43" s="14"/>
      <c r="E43" s="14" t="s">
        <v>6</v>
      </c>
      <c r="F43" s="14" t="s">
        <v>263</v>
      </c>
      <c r="G43" s="15" t="s">
        <v>113</v>
      </c>
      <c r="H43" s="14" t="s">
        <v>114</v>
      </c>
      <c r="I43" s="14" t="s">
        <v>72</v>
      </c>
      <c r="J43" s="14" t="s">
        <v>199</v>
      </c>
      <c r="K43" s="14" t="s">
        <v>61</v>
      </c>
      <c r="L43" s="15" t="s">
        <v>91</v>
      </c>
      <c r="M43" s="14" t="s">
        <v>457</v>
      </c>
      <c r="N43" s="16" t="s">
        <v>465</v>
      </c>
      <c r="O43" s="15"/>
      <c r="P43" s="15"/>
      <c r="Q43" s="15" t="n">
        <f aca="false">IFERROR(VLOOKUP(J43,Parametros!$A$5:$B$9,2,FALSE()),0)</f>
        <v>1</v>
      </c>
      <c r="R43" s="15" t="n">
        <f aca="false">IFERROR(VLOOKUP(H43,Parametros!$D$5:$E$23,2,FALSE()),1)</f>
        <v>2</v>
      </c>
      <c r="S43" s="15" t="n">
        <f aca="false">IF(OR(N(O43)&gt;=Parametros!$H$9,AND(N(P43)&gt;0,N(P43)&lt;=Parametros!$H$10)),1,0)</f>
        <v>0</v>
      </c>
      <c r="T43" s="15" t="n">
        <f aca="false">Q43+R43+S43</f>
        <v>3</v>
      </c>
      <c r="U43" s="15" t="str">
        <f aca="false">IF(OR(V43="Inactive",V43="No encontrada",V43="Duplicado"),"Descartada",IF(AND(T43&gt;=Parametros!$H$5,S43=1),"A",IF(T43&gt;=Parametros!$H$6,"B","C")))</f>
        <v>C</v>
      </c>
      <c r="V43" s="17" t="s">
        <v>94</v>
      </c>
      <c r="W43" s="17"/>
      <c r="X43" s="14" t="s">
        <v>466</v>
      </c>
      <c r="Y43" s="14" t="s">
        <v>467</v>
      </c>
      <c r="Z43" s="14" t="s">
        <v>468</v>
      </c>
      <c r="AA43" s="14"/>
      <c r="AB43" s="14"/>
      <c r="AC43" s="14"/>
      <c r="AD43" s="16" t="s">
        <v>469</v>
      </c>
      <c r="AE43" s="16" t="s">
        <v>470</v>
      </c>
      <c r="AF43" s="14"/>
      <c r="AG43" s="14"/>
      <c r="AH43" s="14" t="s">
        <v>269</v>
      </c>
    </row>
    <row r="44" customFormat="false" ht="15" hidden="false" customHeight="false" outlineLevel="0" collapsed="false">
      <c r="A44" s="14" t="s">
        <v>471</v>
      </c>
      <c r="B44" s="14" t="s">
        <v>472</v>
      </c>
      <c r="C44" s="14" t="s">
        <v>420</v>
      </c>
      <c r="D44" s="14"/>
      <c r="E44" s="14" t="s">
        <v>6</v>
      </c>
      <c r="F44" s="14" t="s">
        <v>473</v>
      </c>
      <c r="G44" s="15" t="s">
        <v>474</v>
      </c>
      <c r="H44" s="14" t="s">
        <v>475</v>
      </c>
      <c r="I44" s="14" t="s">
        <v>210</v>
      </c>
      <c r="J44" s="14" t="s">
        <v>199</v>
      </c>
      <c r="K44" s="14" t="s">
        <v>301</v>
      </c>
      <c r="L44" s="15" t="s">
        <v>91</v>
      </c>
      <c r="M44" s="14" t="s">
        <v>476</v>
      </c>
      <c r="N44" s="16" t="s">
        <v>477</v>
      </c>
      <c r="O44" s="15"/>
      <c r="P44" s="15"/>
      <c r="Q44" s="15" t="n">
        <f aca="false">IFERROR(VLOOKUP(J44,Parametros!$A$5:$B$9,2,FALSE()),0)</f>
        <v>1</v>
      </c>
      <c r="R44" s="15" t="n">
        <f aca="false">IFERROR(VLOOKUP(H44,Parametros!$D$5:$E$23,2,FALSE()),1)</f>
        <v>3</v>
      </c>
      <c r="S44" s="15" t="n">
        <f aca="false">IF(OR(N(O44)&gt;=Parametros!$H$9,AND(N(P44)&gt;0,N(P44)&lt;=Parametros!$H$10)),1,0)</f>
        <v>0</v>
      </c>
      <c r="T44" s="15" t="n">
        <f aca="false">Q44+R44+S44</f>
        <v>4</v>
      </c>
      <c r="U44" s="15" t="str">
        <f aca="false">IF(OR(V44="Inactive",V44="No encontrada",V44="Duplicado"),"Descartada",IF(AND(T44&gt;=Parametros!$H$5,S44=1),"A",IF(T44&gt;=Parametros!$H$6,"B","C")))</f>
        <v>B</v>
      </c>
      <c r="V44" s="17" t="s">
        <v>94</v>
      </c>
      <c r="W44" s="17"/>
      <c r="X44" s="14" t="s">
        <v>478</v>
      </c>
      <c r="Y44" s="14" t="s">
        <v>479</v>
      </c>
      <c r="Z44" s="14" t="s">
        <v>480</v>
      </c>
      <c r="AA44" s="16" t="s">
        <v>477</v>
      </c>
      <c r="AB44" s="16" t="s">
        <v>481</v>
      </c>
      <c r="AC44" s="14"/>
      <c r="AD44" s="14"/>
      <c r="AE44" s="16" t="s">
        <v>482</v>
      </c>
      <c r="AF44" s="14"/>
      <c r="AG44" s="14"/>
      <c r="AH44" s="14" t="s">
        <v>483</v>
      </c>
    </row>
    <row r="45" customFormat="false" ht="15" hidden="false" customHeight="false" outlineLevel="0" collapsed="false">
      <c r="A45" s="14" t="s">
        <v>484</v>
      </c>
      <c r="B45" s="14" t="s">
        <v>485</v>
      </c>
      <c r="C45" s="14" t="s">
        <v>420</v>
      </c>
      <c r="D45" s="14"/>
      <c r="E45" s="14" t="s">
        <v>6</v>
      </c>
      <c r="F45" s="14" t="s">
        <v>473</v>
      </c>
      <c r="G45" s="15" t="s">
        <v>474</v>
      </c>
      <c r="H45" s="14" t="s">
        <v>475</v>
      </c>
      <c r="I45" s="14" t="s">
        <v>210</v>
      </c>
      <c r="J45" s="14" t="s">
        <v>199</v>
      </c>
      <c r="K45" s="14" t="s">
        <v>90</v>
      </c>
      <c r="L45" s="15" t="s">
        <v>91</v>
      </c>
      <c r="M45" s="14" t="s">
        <v>476</v>
      </c>
      <c r="N45" s="16" t="s">
        <v>486</v>
      </c>
      <c r="O45" s="15"/>
      <c r="P45" s="15"/>
      <c r="Q45" s="15" t="n">
        <f aca="false">IFERROR(VLOOKUP(J45,Parametros!$A$5:$B$9,2,FALSE()),0)</f>
        <v>1</v>
      </c>
      <c r="R45" s="15" t="n">
        <f aca="false">IFERROR(VLOOKUP(H45,Parametros!$D$5:$E$23,2,FALSE()),1)</f>
        <v>3</v>
      </c>
      <c r="S45" s="15" t="n">
        <f aca="false">IF(OR(N(O45)&gt;=Parametros!$H$9,AND(N(P45)&gt;0,N(P45)&lt;=Parametros!$H$10)),1,0)</f>
        <v>0</v>
      </c>
      <c r="T45" s="15" t="n">
        <f aca="false">Q45+R45+S45</f>
        <v>4</v>
      </c>
      <c r="U45" s="15" t="str">
        <f aca="false">IF(OR(V45="Inactive",V45="No encontrada",V45="Duplicado"),"Descartada",IF(AND(T45&gt;=Parametros!$H$5,S45=1),"A",IF(T45&gt;=Parametros!$H$6,"B","C")))</f>
        <v>B</v>
      </c>
      <c r="V45" s="17" t="s">
        <v>94</v>
      </c>
      <c r="W45" s="17"/>
      <c r="X45" s="14" t="s">
        <v>487</v>
      </c>
      <c r="Y45" s="14" t="s">
        <v>488</v>
      </c>
      <c r="Z45" s="14" t="s">
        <v>489</v>
      </c>
      <c r="AA45" s="16" t="s">
        <v>486</v>
      </c>
      <c r="AB45" s="14"/>
      <c r="AC45" s="14"/>
      <c r="AD45" s="16" t="s">
        <v>490</v>
      </c>
      <c r="AE45" s="16" t="s">
        <v>491</v>
      </c>
      <c r="AF45" s="14"/>
      <c r="AG45" s="14"/>
      <c r="AH45" s="14" t="s">
        <v>483</v>
      </c>
    </row>
    <row r="46" customFormat="false" ht="15" hidden="false" customHeight="false" outlineLevel="0" collapsed="false">
      <c r="A46" s="14" t="s">
        <v>492</v>
      </c>
      <c r="B46" s="14" t="s">
        <v>493</v>
      </c>
      <c r="C46" s="14" t="s">
        <v>494</v>
      </c>
      <c r="D46" s="14" t="s">
        <v>495</v>
      </c>
      <c r="E46" s="14" t="s">
        <v>6</v>
      </c>
      <c r="F46" s="14" t="s">
        <v>496</v>
      </c>
      <c r="G46" s="15" t="s">
        <v>113</v>
      </c>
      <c r="H46" s="14" t="s">
        <v>114</v>
      </c>
      <c r="I46" s="14" t="s">
        <v>72</v>
      </c>
      <c r="J46" s="14" t="s">
        <v>199</v>
      </c>
      <c r="K46" s="14" t="s">
        <v>61</v>
      </c>
      <c r="L46" s="15" t="s">
        <v>91</v>
      </c>
      <c r="M46" s="14" t="s">
        <v>497</v>
      </c>
      <c r="N46" s="16" t="s">
        <v>498</v>
      </c>
      <c r="O46" s="15"/>
      <c r="P46" s="15" t="n">
        <v>1990</v>
      </c>
      <c r="Q46" s="15" t="n">
        <f aca="false">IFERROR(VLOOKUP(J46,Parametros!$A$5:$B$9,2,FALSE()),0)</f>
        <v>1</v>
      </c>
      <c r="R46" s="15" t="n">
        <f aca="false">IFERROR(VLOOKUP(H46,Parametros!$D$5:$E$23,2,FALSE()),1)</f>
        <v>2</v>
      </c>
      <c r="S46" s="15" t="n">
        <f aca="false">IF(OR(N(O46)&gt;=Parametros!$H$9,AND(N(P46)&gt;0,N(P46)&lt;=Parametros!$H$10)),1,0)</f>
        <v>1</v>
      </c>
      <c r="T46" s="15" t="n">
        <f aca="false">Q46+R46+S46</f>
        <v>4</v>
      </c>
      <c r="U46" s="15" t="str">
        <f aca="false">IF(OR(V46="Inactive",V46="No encontrada",V46="Duplicado"),"Descartada",IF(AND(T46&gt;=Parametros!$H$5,S46=1),"A",IF(T46&gt;=Parametros!$H$6,"B","C")))</f>
        <v>B</v>
      </c>
      <c r="V46" s="17" t="s">
        <v>94</v>
      </c>
      <c r="W46" s="17"/>
      <c r="X46" s="14" t="s">
        <v>499</v>
      </c>
      <c r="Y46" s="14" t="s">
        <v>500</v>
      </c>
      <c r="Z46" s="14" t="s">
        <v>501</v>
      </c>
      <c r="AA46" s="14"/>
      <c r="AB46" s="14"/>
      <c r="AC46" s="14"/>
      <c r="AD46" s="16" t="s">
        <v>502</v>
      </c>
      <c r="AE46" s="16" t="s">
        <v>503</v>
      </c>
      <c r="AF46" s="14"/>
      <c r="AG46" s="14"/>
      <c r="AH46" s="14" t="s">
        <v>269</v>
      </c>
    </row>
    <row r="47" customFormat="false" ht="23.85" hidden="false" customHeight="false" outlineLevel="0" collapsed="false">
      <c r="A47" s="14" t="s">
        <v>504</v>
      </c>
      <c r="B47" s="14" t="s">
        <v>505</v>
      </c>
      <c r="C47" s="14" t="s">
        <v>494</v>
      </c>
      <c r="D47" s="14" t="s">
        <v>495</v>
      </c>
      <c r="E47" s="14" t="s">
        <v>6</v>
      </c>
      <c r="F47" s="14" t="s">
        <v>263</v>
      </c>
      <c r="G47" s="15" t="s">
        <v>113</v>
      </c>
      <c r="H47" s="14" t="s">
        <v>114</v>
      </c>
      <c r="I47" s="14" t="s">
        <v>210</v>
      </c>
      <c r="J47" s="14" t="s">
        <v>210</v>
      </c>
      <c r="K47" s="14" t="s">
        <v>61</v>
      </c>
      <c r="L47" s="15" t="s">
        <v>91</v>
      </c>
      <c r="M47" s="14" t="s">
        <v>373</v>
      </c>
      <c r="N47" s="16" t="s">
        <v>506</v>
      </c>
      <c r="O47" s="15"/>
      <c r="P47" s="15"/>
      <c r="Q47" s="15" t="n">
        <f aca="false">IFERROR(VLOOKUP(J47,Parametros!$A$5:$B$9,2,FALSE()),0)</f>
        <v>1</v>
      </c>
      <c r="R47" s="15" t="n">
        <f aca="false">IFERROR(VLOOKUP(H47,Parametros!$D$5:$E$23,2,FALSE()),1)</f>
        <v>2</v>
      </c>
      <c r="S47" s="15" t="n">
        <f aca="false">IF(OR(N(O47)&gt;=Parametros!$H$9,AND(N(P47)&gt;0,N(P47)&lt;=Parametros!$H$10)),1,0)</f>
        <v>0</v>
      </c>
      <c r="T47" s="15" t="n">
        <f aca="false">Q47+R47+S47</f>
        <v>3</v>
      </c>
      <c r="U47" s="15" t="str">
        <f aca="false">IF(OR(V47="Inactive",V47="No encontrada",V47="Duplicado"),"Descartada",IF(AND(T47&gt;=Parametros!$H$5,S47=1),"A",IF(T47&gt;=Parametros!$H$6,"B","C")))</f>
        <v>C</v>
      </c>
      <c r="V47" s="17" t="s">
        <v>94</v>
      </c>
      <c r="W47" s="17"/>
      <c r="X47" s="14" t="s">
        <v>507</v>
      </c>
      <c r="Y47" s="14" t="s">
        <v>508</v>
      </c>
      <c r="Z47" s="14"/>
      <c r="AA47" s="14"/>
      <c r="AB47" s="14"/>
      <c r="AC47" s="14"/>
      <c r="AD47" s="16" t="s">
        <v>506</v>
      </c>
      <c r="AE47" s="16" t="s">
        <v>509</v>
      </c>
      <c r="AF47" s="14"/>
      <c r="AG47" s="14" t="s">
        <v>510</v>
      </c>
      <c r="AH47" s="14" t="s">
        <v>269</v>
      </c>
    </row>
    <row r="48" customFormat="false" ht="23.85" hidden="false" customHeight="false" outlineLevel="0" collapsed="false">
      <c r="A48" s="14" t="s">
        <v>511</v>
      </c>
      <c r="B48" s="14" t="s">
        <v>512</v>
      </c>
      <c r="C48" s="14" t="s">
        <v>494</v>
      </c>
      <c r="D48" s="14" t="s">
        <v>495</v>
      </c>
      <c r="E48" s="14" t="s">
        <v>6</v>
      </c>
      <c r="F48" s="14" t="s">
        <v>496</v>
      </c>
      <c r="G48" s="15" t="s">
        <v>113</v>
      </c>
      <c r="H48" s="14" t="s">
        <v>114</v>
      </c>
      <c r="I48" s="14" t="s">
        <v>72</v>
      </c>
      <c r="J48" s="14" t="s">
        <v>199</v>
      </c>
      <c r="K48" s="14" t="s">
        <v>513</v>
      </c>
      <c r="L48" s="15" t="s">
        <v>91</v>
      </c>
      <c r="M48" s="14" t="s">
        <v>514</v>
      </c>
      <c r="N48" s="16" t="s">
        <v>515</v>
      </c>
      <c r="O48" s="15"/>
      <c r="P48" s="15"/>
      <c r="Q48" s="15" t="n">
        <f aca="false">IFERROR(VLOOKUP(J48,Parametros!$A$5:$B$9,2,FALSE()),0)</f>
        <v>1</v>
      </c>
      <c r="R48" s="15" t="n">
        <f aca="false">IFERROR(VLOOKUP(H48,Parametros!$D$5:$E$23,2,FALSE()),1)</f>
        <v>2</v>
      </c>
      <c r="S48" s="15" t="n">
        <f aca="false">IF(OR(N(O48)&gt;=Parametros!$H$9,AND(N(P48)&gt;0,N(P48)&lt;=Parametros!$H$10)),1,0)</f>
        <v>0</v>
      </c>
      <c r="T48" s="15" t="n">
        <f aca="false">Q48+R48+S48</f>
        <v>3</v>
      </c>
      <c r="U48" s="15" t="str">
        <f aca="false">IF(OR(V48="Inactive",V48="No encontrada",V48="Duplicado"),"Descartada",IF(AND(T48&gt;=Parametros!$H$5,S48=1),"A",IF(T48&gt;=Parametros!$H$6,"B","C")))</f>
        <v>C</v>
      </c>
      <c r="V48" s="17" t="s">
        <v>94</v>
      </c>
      <c r="W48" s="17"/>
      <c r="X48" s="14" t="s">
        <v>516</v>
      </c>
      <c r="Y48" s="14" t="s">
        <v>517</v>
      </c>
      <c r="Z48" s="14" t="s">
        <v>518</v>
      </c>
      <c r="AA48" s="16" t="s">
        <v>519</v>
      </c>
      <c r="AB48" s="16" t="s">
        <v>520</v>
      </c>
      <c r="AC48" s="16" t="s">
        <v>521</v>
      </c>
      <c r="AD48" s="16" t="s">
        <v>522</v>
      </c>
      <c r="AE48" s="16" t="s">
        <v>523</v>
      </c>
      <c r="AF48" s="14"/>
      <c r="AG48" s="14"/>
      <c r="AH48" s="14" t="s">
        <v>269</v>
      </c>
    </row>
    <row r="49" customFormat="false" ht="15" hidden="false" customHeight="false" outlineLevel="0" collapsed="false">
      <c r="A49" s="14" t="s">
        <v>524</v>
      </c>
      <c r="B49" s="14" t="s">
        <v>525</v>
      </c>
      <c r="C49" s="14" t="s">
        <v>494</v>
      </c>
      <c r="D49" s="14" t="s">
        <v>495</v>
      </c>
      <c r="E49" s="14" t="s">
        <v>6</v>
      </c>
      <c r="F49" s="14" t="s">
        <v>526</v>
      </c>
      <c r="G49" s="15" t="s">
        <v>113</v>
      </c>
      <c r="H49" s="14" t="s">
        <v>114</v>
      </c>
      <c r="I49" s="14" t="s">
        <v>72</v>
      </c>
      <c r="J49" s="14" t="s">
        <v>199</v>
      </c>
      <c r="K49" s="14" t="s">
        <v>90</v>
      </c>
      <c r="L49" s="15" t="s">
        <v>91</v>
      </c>
      <c r="M49" s="14" t="s">
        <v>527</v>
      </c>
      <c r="N49" s="16" t="s">
        <v>528</v>
      </c>
      <c r="O49" s="15"/>
      <c r="P49" s="15" t="n">
        <v>1997</v>
      </c>
      <c r="Q49" s="15" t="n">
        <f aca="false">IFERROR(VLOOKUP(J49,Parametros!$A$5:$B$9,2,FALSE()),0)</f>
        <v>1</v>
      </c>
      <c r="R49" s="15" t="n">
        <f aca="false">IFERROR(VLOOKUP(H49,Parametros!$D$5:$E$23,2,FALSE()),1)</f>
        <v>2</v>
      </c>
      <c r="S49" s="15" t="n">
        <f aca="false">IF(OR(N(O49)&gt;=Parametros!$H$9,AND(N(P49)&gt;0,N(P49)&lt;=Parametros!$H$10)),1,0)</f>
        <v>1</v>
      </c>
      <c r="T49" s="15" t="n">
        <f aca="false">Q49+R49+S49</f>
        <v>4</v>
      </c>
      <c r="U49" s="15" t="str">
        <f aca="false">IF(OR(V49="Inactive",V49="No encontrada",V49="Duplicado"),"Descartada",IF(AND(T49&gt;=Parametros!$H$5,S49=1),"A",IF(T49&gt;=Parametros!$H$6,"B","C")))</f>
        <v>B</v>
      </c>
      <c r="V49" s="17" t="s">
        <v>94</v>
      </c>
      <c r="W49" s="17"/>
      <c r="X49" s="14" t="s">
        <v>529</v>
      </c>
      <c r="Y49" s="14" t="s">
        <v>530</v>
      </c>
      <c r="Z49" s="14" t="s">
        <v>531</v>
      </c>
      <c r="AA49" s="16" t="s">
        <v>532</v>
      </c>
      <c r="AB49" s="14"/>
      <c r="AC49" s="14"/>
      <c r="AD49" s="16" t="s">
        <v>528</v>
      </c>
      <c r="AE49" s="16" t="s">
        <v>533</v>
      </c>
      <c r="AF49" s="14"/>
      <c r="AG49" s="14"/>
      <c r="AH49" s="14" t="s">
        <v>269</v>
      </c>
    </row>
    <row r="50" customFormat="false" ht="15" hidden="false" customHeight="false" outlineLevel="0" collapsed="false">
      <c r="A50" s="14" t="s">
        <v>534</v>
      </c>
      <c r="B50" s="14" t="s">
        <v>535</v>
      </c>
      <c r="C50" s="14" t="s">
        <v>494</v>
      </c>
      <c r="D50" s="14" t="s">
        <v>536</v>
      </c>
      <c r="E50" s="14" t="s">
        <v>6</v>
      </c>
      <c r="F50" s="14" t="s">
        <v>537</v>
      </c>
      <c r="G50" s="15" t="s">
        <v>538</v>
      </c>
      <c r="H50" s="14" t="s">
        <v>539</v>
      </c>
      <c r="I50" s="14" t="s">
        <v>210</v>
      </c>
      <c r="J50" s="14" t="s">
        <v>199</v>
      </c>
      <c r="K50" s="14" t="s">
        <v>211</v>
      </c>
      <c r="L50" s="15" t="s">
        <v>91</v>
      </c>
      <c r="M50" s="14" t="s">
        <v>540</v>
      </c>
      <c r="N50" s="16" t="s">
        <v>541</v>
      </c>
      <c r="O50" s="15"/>
      <c r="P50" s="15" t="n">
        <v>1982</v>
      </c>
      <c r="Q50" s="15" t="n">
        <f aca="false">IFERROR(VLOOKUP(J50,Parametros!$A$5:$B$9,2,FALSE()),0)</f>
        <v>1</v>
      </c>
      <c r="R50" s="15" t="n">
        <f aca="false">IFERROR(VLOOKUP(H50,Parametros!$D$5:$E$23,2,FALSE()),1)</f>
        <v>1</v>
      </c>
      <c r="S50" s="15" t="n">
        <f aca="false">IF(OR(N(O50)&gt;=Parametros!$H$9,AND(N(P50)&gt;0,N(P50)&lt;=Parametros!$H$10)),1,0)</f>
        <v>1</v>
      </c>
      <c r="T50" s="15" t="n">
        <f aca="false">Q50+R50+S50</f>
        <v>3</v>
      </c>
      <c r="U50" s="15" t="str">
        <f aca="false">IF(OR(V50="Inactive",V50="No encontrada",V50="Duplicado"),"Descartada",IF(AND(T50&gt;=Parametros!$H$5,S50=1),"A",IF(T50&gt;=Parametros!$H$6,"B","C")))</f>
        <v>C</v>
      </c>
      <c r="V50" s="17" t="s">
        <v>94</v>
      </c>
      <c r="W50" s="17"/>
      <c r="X50" s="14" t="s">
        <v>542</v>
      </c>
      <c r="Y50" s="14" t="s">
        <v>543</v>
      </c>
      <c r="Z50" s="14" t="s">
        <v>544</v>
      </c>
      <c r="AA50" s="16" t="s">
        <v>541</v>
      </c>
      <c r="AB50" s="16" t="s">
        <v>545</v>
      </c>
      <c r="AC50" s="14"/>
      <c r="AD50" s="16" t="s">
        <v>546</v>
      </c>
      <c r="AE50" s="16" t="s">
        <v>547</v>
      </c>
      <c r="AF50" s="14"/>
      <c r="AG50" s="14" t="s">
        <v>548</v>
      </c>
      <c r="AH50" s="14" t="s">
        <v>549</v>
      </c>
    </row>
    <row r="51" customFormat="false" ht="23.85" hidden="false" customHeight="false" outlineLevel="0" collapsed="false">
      <c r="A51" s="14" t="s">
        <v>550</v>
      </c>
      <c r="B51" s="14" t="s">
        <v>551</v>
      </c>
      <c r="C51" s="14" t="s">
        <v>494</v>
      </c>
      <c r="D51" s="14" t="s">
        <v>536</v>
      </c>
      <c r="E51" s="14" t="s">
        <v>6</v>
      </c>
      <c r="F51" s="14" t="s">
        <v>537</v>
      </c>
      <c r="G51" s="15" t="s">
        <v>538</v>
      </c>
      <c r="H51" s="14" t="s">
        <v>539</v>
      </c>
      <c r="I51" s="14" t="s">
        <v>210</v>
      </c>
      <c r="J51" s="14" t="s">
        <v>199</v>
      </c>
      <c r="K51" s="14" t="s">
        <v>90</v>
      </c>
      <c r="L51" s="15" t="s">
        <v>91</v>
      </c>
      <c r="M51" s="14" t="s">
        <v>552</v>
      </c>
      <c r="N51" s="16" t="s">
        <v>553</v>
      </c>
      <c r="O51" s="15"/>
      <c r="P51" s="15" t="n">
        <v>1974</v>
      </c>
      <c r="Q51" s="15" t="n">
        <f aca="false">IFERROR(VLOOKUP(J51,Parametros!$A$5:$B$9,2,FALSE()),0)</f>
        <v>1</v>
      </c>
      <c r="R51" s="15" t="n">
        <f aca="false">IFERROR(VLOOKUP(H51,Parametros!$D$5:$E$23,2,FALSE()),1)</f>
        <v>1</v>
      </c>
      <c r="S51" s="15" t="n">
        <f aca="false">IF(OR(N(O51)&gt;=Parametros!$H$9,AND(N(P51)&gt;0,N(P51)&lt;=Parametros!$H$10)),1,0)</f>
        <v>1</v>
      </c>
      <c r="T51" s="15" t="n">
        <f aca="false">Q51+R51+S51</f>
        <v>3</v>
      </c>
      <c r="U51" s="15" t="str">
        <f aca="false">IF(OR(V51="Inactive",V51="No encontrada",V51="Duplicado"),"Descartada",IF(AND(T51&gt;=Parametros!$H$5,S51=1),"A",IF(T51&gt;=Parametros!$H$6,"B","C")))</f>
        <v>C</v>
      </c>
      <c r="V51" s="17" t="s">
        <v>94</v>
      </c>
      <c r="W51" s="17"/>
      <c r="X51" s="14" t="s">
        <v>554</v>
      </c>
      <c r="Y51" s="14" t="s">
        <v>555</v>
      </c>
      <c r="Z51" s="14" t="s">
        <v>556</v>
      </c>
      <c r="AA51" s="16" t="s">
        <v>557</v>
      </c>
      <c r="AB51" s="14"/>
      <c r="AC51" s="14"/>
      <c r="AD51" s="16" t="s">
        <v>558</v>
      </c>
      <c r="AE51" s="16" t="s">
        <v>559</v>
      </c>
      <c r="AF51" s="14" t="s">
        <v>81</v>
      </c>
      <c r="AG51" s="14" t="s">
        <v>560</v>
      </c>
      <c r="AH51" s="14" t="s">
        <v>549</v>
      </c>
    </row>
    <row r="52" customFormat="false" ht="15" hidden="false" customHeight="false" outlineLevel="0" collapsed="false">
      <c r="A52" s="14" t="s">
        <v>561</v>
      </c>
      <c r="B52" s="14" t="s">
        <v>562</v>
      </c>
      <c r="C52" s="14" t="s">
        <v>563</v>
      </c>
      <c r="D52" s="14"/>
      <c r="E52" s="14" t="s">
        <v>6</v>
      </c>
      <c r="F52" s="14" t="s">
        <v>564</v>
      </c>
      <c r="G52" s="15" t="s">
        <v>125</v>
      </c>
      <c r="H52" s="14" t="s">
        <v>126</v>
      </c>
      <c r="I52" s="14" t="s">
        <v>72</v>
      </c>
      <c r="J52" s="14" t="s">
        <v>199</v>
      </c>
      <c r="K52" s="14" t="s">
        <v>312</v>
      </c>
      <c r="L52" s="15" t="s">
        <v>91</v>
      </c>
      <c r="M52" s="14" t="s">
        <v>565</v>
      </c>
      <c r="N52" s="16" t="s">
        <v>566</v>
      </c>
      <c r="O52" s="15"/>
      <c r="P52" s="15" t="n">
        <v>1988</v>
      </c>
      <c r="Q52" s="15" t="n">
        <f aca="false">IFERROR(VLOOKUP(J52,Parametros!$A$5:$B$9,2,FALSE()),0)</f>
        <v>1</v>
      </c>
      <c r="R52" s="15" t="n">
        <f aca="false">IFERROR(VLOOKUP(H52,Parametros!$D$5:$E$23,2,FALSE()),1)</f>
        <v>3</v>
      </c>
      <c r="S52" s="15" t="n">
        <f aca="false">IF(OR(N(O52)&gt;=Parametros!$H$9,AND(N(P52)&gt;0,N(P52)&lt;=Parametros!$H$10)),1,0)</f>
        <v>1</v>
      </c>
      <c r="T52" s="15" t="n">
        <f aca="false">Q52+R52+S52</f>
        <v>5</v>
      </c>
      <c r="U52" s="15" t="str">
        <f aca="false">IF(OR(V52="Inactive",V52="No encontrada",V52="Duplicado"),"Descartada",IF(AND(T52&gt;=Parametros!$H$5,S52=1),"A",IF(T52&gt;=Parametros!$H$6,"B","C")))</f>
        <v>B</v>
      </c>
      <c r="V52" s="17" t="s">
        <v>94</v>
      </c>
      <c r="W52" s="17"/>
      <c r="X52" s="14" t="s">
        <v>567</v>
      </c>
      <c r="Y52" s="14" t="s">
        <v>568</v>
      </c>
      <c r="Z52" s="14" t="s">
        <v>569</v>
      </c>
      <c r="AA52" s="16" t="s">
        <v>570</v>
      </c>
      <c r="AB52" s="14"/>
      <c r="AC52" s="16" t="s">
        <v>571</v>
      </c>
      <c r="AD52" s="16" t="s">
        <v>572</v>
      </c>
      <c r="AE52" s="16" t="s">
        <v>572</v>
      </c>
      <c r="AF52" s="14"/>
      <c r="AG52" s="14"/>
      <c r="AH52" s="14" t="s">
        <v>120</v>
      </c>
    </row>
    <row r="53" customFormat="false" ht="15" hidden="false" customHeight="false" outlineLevel="0" collapsed="false">
      <c r="A53" s="14" t="s">
        <v>573</v>
      </c>
      <c r="B53" s="14" t="s">
        <v>574</v>
      </c>
      <c r="C53" s="14" t="s">
        <v>563</v>
      </c>
      <c r="D53" s="14"/>
      <c r="E53" s="14" t="s">
        <v>6</v>
      </c>
      <c r="F53" s="14" t="s">
        <v>575</v>
      </c>
      <c r="G53" s="15" t="s">
        <v>474</v>
      </c>
      <c r="H53" s="14" t="s">
        <v>475</v>
      </c>
      <c r="I53" s="14" t="s">
        <v>72</v>
      </c>
      <c r="J53" s="14" t="s">
        <v>8</v>
      </c>
      <c r="K53" s="14" t="s">
        <v>312</v>
      </c>
      <c r="L53" s="15" t="s">
        <v>91</v>
      </c>
      <c r="M53" s="14" t="s">
        <v>576</v>
      </c>
      <c r="N53" s="16" t="s">
        <v>577</v>
      </c>
      <c r="O53" s="15"/>
      <c r="P53" s="15"/>
      <c r="Q53" s="15" t="n">
        <f aca="false">IFERROR(VLOOKUP(J53,Parametros!$A$5:$B$9,2,FALSE()),0)</f>
        <v>3</v>
      </c>
      <c r="R53" s="15" t="n">
        <f aca="false">IFERROR(VLOOKUP(H53,Parametros!$D$5:$E$23,2,FALSE()),1)</f>
        <v>3</v>
      </c>
      <c r="S53" s="15" t="n">
        <f aca="false">IF(OR(N(O53)&gt;=Parametros!$H$9,AND(N(P53)&gt;0,N(P53)&lt;=Parametros!$H$10)),1,0)</f>
        <v>0</v>
      </c>
      <c r="T53" s="15" t="n">
        <f aca="false">Q53+R53+S53</f>
        <v>6</v>
      </c>
      <c r="U53" s="15" t="str">
        <f aca="false">IF(OR(V53="Inactive",V53="No encontrada",V53="Duplicado"),"Descartada",IF(AND(T53&gt;=Parametros!$H$5,S53=1),"A",IF(T53&gt;=Parametros!$H$6,"B","C")))</f>
        <v>B</v>
      </c>
      <c r="V53" s="17" t="s">
        <v>94</v>
      </c>
      <c r="W53" s="17"/>
      <c r="X53" s="14" t="s">
        <v>578</v>
      </c>
      <c r="Y53" s="14" t="s">
        <v>579</v>
      </c>
      <c r="Z53" s="14"/>
      <c r="AA53" s="16" t="s">
        <v>580</v>
      </c>
      <c r="AB53" s="14"/>
      <c r="AC53" s="16" t="s">
        <v>581</v>
      </c>
      <c r="AD53" s="16" t="s">
        <v>582</v>
      </c>
      <c r="AE53" s="16" t="s">
        <v>583</v>
      </c>
      <c r="AF53" s="14"/>
      <c r="AG53" s="14" t="s">
        <v>584</v>
      </c>
      <c r="AH53" s="14" t="s">
        <v>585</v>
      </c>
    </row>
    <row r="54" customFormat="false" ht="15" hidden="false" customHeight="false" outlineLevel="0" collapsed="false">
      <c r="A54" s="14" t="s">
        <v>586</v>
      </c>
      <c r="B54" s="14" t="s">
        <v>587</v>
      </c>
      <c r="C54" s="14" t="s">
        <v>563</v>
      </c>
      <c r="D54" s="14"/>
      <c r="E54" s="14" t="s">
        <v>6</v>
      </c>
      <c r="F54" s="14" t="s">
        <v>575</v>
      </c>
      <c r="G54" s="15" t="s">
        <v>474</v>
      </c>
      <c r="H54" s="14" t="s">
        <v>475</v>
      </c>
      <c r="I54" s="14" t="s">
        <v>72</v>
      </c>
      <c r="J54" s="14" t="s">
        <v>8</v>
      </c>
      <c r="K54" s="14" t="s">
        <v>61</v>
      </c>
      <c r="L54" s="15" t="s">
        <v>91</v>
      </c>
      <c r="M54" s="14" t="s">
        <v>576</v>
      </c>
      <c r="N54" s="16" t="s">
        <v>588</v>
      </c>
      <c r="O54" s="15"/>
      <c r="P54" s="15"/>
      <c r="Q54" s="15" t="n">
        <f aca="false">IFERROR(VLOOKUP(J54,Parametros!$A$5:$B$9,2,FALSE()),0)</f>
        <v>3</v>
      </c>
      <c r="R54" s="15" t="n">
        <f aca="false">IFERROR(VLOOKUP(H54,Parametros!$D$5:$E$23,2,FALSE()),1)</f>
        <v>3</v>
      </c>
      <c r="S54" s="15" t="n">
        <f aca="false">IF(OR(N(O54)&gt;=Parametros!$H$9,AND(N(P54)&gt;0,N(P54)&lt;=Parametros!$H$10)),1,0)</f>
        <v>0</v>
      </c>
      <c r="T54" s="15" t="n">
        <f aca="false">Q54+R54+S54</f>
        <v>6</v>
      </c>
      <c r="U54" s="15" t="str">
        <f aca="false">IF(OR(V54="Inactive",V54="No encontrada",V54="Duplicado"),"Descartada",IF(AND(T54&gt;=Parametros!$H$5,S54=1),"A",IF(T54&gt;=Parametros!$H$6,"B","C")))</f>
        <v>B</v>
      </c>
      <c r="V54" s="17" t="s">
        <v>94</v>
      </c>
      <c r="W54" s="17"/>
      <c r="X54" s="14" t="s">
        <v>589</v>
      </c>
      <c r="Y54" s="14" t="s">
        <v>590</v>
      </c>
      <c r="Z54" s="14"/>
      <c r="AA54" s="14"/>
      <c r="AB54" s="14"/>
      <c r="AC54" s="14"/>
      <c r="AD54" s="16" t="s">
        <v>591</v>
      </c>
      <c r="AE54" s="16" t="s">
        <v>592</v>
      </c>
      <c r="AF54" s="14"/>
      <c r="AG54" s="14" t="s">
        <v>593</v>
      </c>
      <c r="AH54" s="14" t="s">
        <v>585</v>
      </c>
    </row>
    <row r="55" customFormat="false" ht="23.85" hidden="false" customHeight="false" outlineLevel="0" collapsed="false">
      <c r="A55" s="14" t="s">
        <v>594</v>
      </c>
      <c r="B55" s="14" t="s">
        <v>595</v>
      </c>
      <c r="C55" s="14" t="s">
        <v>123</v>
      </c>
      <c r="D55" s="14"/>
      <c r="E55" s="14" t="s">
        <v>6</v>
      </c>
      <c r="F55" s="14" t="s">
        <v>596</v>
      </c>
      <c r="G55" s="15" t="s">
        <v>224</v>
      </c>
      <c r="H55" s="14" t="s">
        <v>225</v>
      </c>
      <c r="I55" s="14" t="s">
        <v>72</v>
      </c>
      <c r="J55" s="14" t="s">
        <v>199</v>
      </c>
      <c r="K55" s="14" t="s">
        <v>61</v>
      </c>
      <c r="L55" s="15" t="s">
        <v>91</v>
      </c>
      <c r="M55" s="14" t="s">
        <v>597</v>
      </c>
      <c r="N55" s="16" t="s">
        <v>598</v>
      </c>
      <c r="O55" s="15"/>
      <c r="P55" s="15" t="n">
        <v>1992</v>
      </c>
      <c r="Q55" s="15" t="n">
        <f aca="false">IFERROR(VLOOKUP(J55,Parametros!$A$5:$B$9,2,FALSE()),0)</f>
        <v>1</v>
      </c>
      <c r="R55" s="15" t="n">
        <f aca="false">IFERROR(VLOOKUP(H55,Parametros!$D$5:$E$23,2,FALSE()),1)</f>
        <v>2</v>
      </c>
      <c r="S55" s="15" t="n">
        <f aca="false">IF(OR(N(O55)&gt;=Parametros!$H$9,AND(N(P55)&gt;0,N(P55)&lt;=Parametros!$H$10)),1,0)</f>
        <v>1</v>
      </c>
      <c r="T55" s="15" t="n">
        <f aca="false">Q55+R55+S55</f>
        <v>4</v>
      </c>
      <c r="U55" s="15" t="str">
        <f aca="false">IF(OR(V55="Inactive",V55="No encontrada",V55="Duplicado"),"Descartada",IF(AND(T55&gt;=Parametros!$H$5,S55=1),"A",IF(T55&gt;=Parametros!$H$6,"B","C")))</f>
        <v>B</v>
      </c>
      <c r="V55" s="17" t="s">
        <v>94</v>
      </c>
      <c r="W55" s="17"/>
      <c r="X55" s="14" t="s">
        <v>599</v>
      </c>
      <c r="Y55" s="14" t="s">
        <v>600</v>
      </c>
      <c r="Z55" s="14"/>
      <c r="AA55" s="14"/>
      <c r="AB55" s="14"/>
      <c r="AC55" s="14"/>
      <c r="AD55" s="16" t="s">
        <v>601</v>
      </c>
      <c r="AE55" s="16" t="s">
        <v>601</v>
      </c>
      <c r="AF55" s="14"/>
      <c r="AG55" s="14" t="s">
        <v>602</v>
      </c>
      <c r="AH55" s="14" t="s">
        <v>232</v>
      </c>
    </row>
    <row r="56" customFormat="false" ht="15" hidden="false" customHeight="false" outlineLevel="0" collapsed="false">
      <c r="A56" s="14" t="s">
        <v>603</v>
      </c>
      <c r="B56" s="14" t="s">
        <v>604</v>
      </c>
      <c r="C56" s="14" t="s">
        <v>123</v>
      </c>
      <c r="D56" s="14"/>
      <c r="E56" s="14" t="s">
        <v>6</v>
      </c>
      <c r="F56" s="14" t="s">
        <v>605</v>
      </c>
      <c r="G56" s="15" t="s">
        <v>606</v>
      </c>
      <c r="H56" s="14" t="s">
        <v>607</v>
      </c>
      <c r="I56" s="14" t="s">
        <v>72</v>
      </c>
      <c r="J56" s="14" t="s">
        <v>199</v>
      </c>
      <c r="K56" s="14" t="s">
        <v>90</v>
      </c>
      <c r="L56" s="15" t="s">
        <v>91</v>
      </c>
      <c r="M56" s="14" t="s">
        <v>608</v>
      </c>
      <c r="N56" s="16" t="s">
        <v>609</v>
      </c>
      <c r="O56" s="15"/>
      <c r="P56" s="15" t="n">
        <v>1997</v>
      </c>
      <c r="Q56" s="15" t="n">
        <f aca="false">IFERROR(VLOOKUP(J56,Parametros!$A$5:$B$9,2,FALSE()),0)</f>
        <v>1</v>
      </c>
      <c r="R56" s="15" t="n">
        <f aca="false">IFERROR(VLOOKUP(H56,Parametros!$D$5:$E$23,2,FALSE()),1)</f>
        <v>1</v>
      </c>
      <c r="S56" s="15" t="n">
        <f aca="false">IF(OR(N(O56)&gt;=Parametros!$H$9,AND(N(P56)&gt;0,N(P56)&lt;=Parametros!$H$10)),1,0)</f>
        <v>1</v>
      </c>
      <c r="T56" s="15" t="n">
        <f aca="false">Q56+R56+S56</f>
        <v>3</v>
      </c>
      <c r="U56" s="15" t="str">
        <f aca="false">IF(OR(V56="Inactive",V56="No encontrada",V56="Duplicado"),"Descartada",IF(AND(T56&gt;=Parametros!$H$5,S56=1),"A",IF(T56&gt;=Parametros!$H$6,"B","C")))</f>
        <v>C</v>
      </c>
      <c r="V56" s="17" t="s">
        <v>94</v>
      </c>
      <c r="W56" s="17"/>
      <c r="X56" s="14" t="s">
        <v>610</v>
      </c>
      <c r="Y56" s="14" t="s">
        <v>611</v>
      </c>
      <c r="Z56" s="14" t="s">
        <v>612</v>
      </c>
      <c r="AA56" s="16" t="s">
        <v>609</v>
      </c>
      <c r="AB56" s="14"/>
      <c r="AC56" s="14"/>
      <c r="AD56" s="16" t="s">
        <v>613</v>
      </c>
      <c r="AE56" s="16" t="s">
        <v>614</v>
      </c>
      <c r="AF56" s="14"/>
      <c r="AG56" s="14"/>
      <c r="AH56" s="14" t="s">
        <v>615</v>
      </c>
    </row>
    <row r="57" customFormat="false" ht="15" hidden="false" customHeight="false" outlineLevel="0" collapsed="false">
      <c r="A57" s="14" t="s">
        <v>616</v>
      </c>
      <c r="B57" s="14" t="s">
        <v>617</v>
      </c>
      <c r="C57" s="14" t="s">
        <v>123</v>
      </c>
      <c r="D57" s="14"/>
      <c r="E57" s="14" t="s">
        <v>6</v>
      </c>
      <c r="F57" s="14" t="s">
        <v>605</v>
      </c>
      <c r="G57" s="15" t="s">
        <v>606</v>
      </c>
      <c r="H57" s="14" t="s">
        <v>607</v>
      </c>
      <c r="I57" s="14" t="s">
        <v>210</v>
      </c>
      <c r="J57" s="14" t="s">
        <v>199</v>
      </c>
      <c r="K57" s="14" t="s">
        <v>90</v>
      </c>
      <c r="L57" s="15" t="s">
        <v>91</v>
      </c>
      <c r="M57" s="14" t="s">
        <v>618</v>
      </c>
      <c r="N57" s="16" t="s">
        <v>619</v>
      </c>
      <c r="O57" s="15"/>
      <c r="P57" s="15"/>
      <c r="Q57" s="15" t="n">
        <f aca="false">IFERROR(VLOOKUP(J57,Parametros!$A$5:$B$9,2,FALSE()),0)</f>
        <v>1</v>
      </c>
      <c r="R57" s="15" t="n">
        <f aca="false">IFERROR(VLOOKUP(H57,Parametros!$D$5:$E$23,2,FALSE()),1)</f>
        <v>1</v>
      </c>
      <c r="S57" s="15" t="n">
        <f aca="false">IF(OR(N(O57)&gt;=Parametros!$H$9,AND(N(P57)&gt;0,N(P57)&lt;=Parametros!$H$10)),1,0)</f>
        <v>0</v>
      </c>
      <c r="T57" s="15" t="n">
        <f aca="false">Q57+R57+S57</f>
        <v>2</v>
      </c>
      <c r="U57" s="15" t="str">
        <f aca="false">IF(OR(V57="Inactive",V57="No encontrada",V57="Duplicado"),"Descartada",IF(AND(T57&gt;=Parametros!$H$5,S57=1),"A",IF(T57&gt;=Parametros!$H$6,"B","C")))</f>
        <v>C</v>
      </c>
      <c r="V57" s="17" t="s">
        <v>94</v>
      </c>
      <c r="W57" s="17"/>
      <c r="X57" s="14" t="s">
        <v>620</v>
      </c>
      <c r="Y57" s="14" t="s">
        <v>621</v>
      </c>
      <c r="Z57" s="14" t="s">
        <v>622</v>
      </c>
      <c r="AA57" s="16" t="s">
        <v>623</v>
      </c>
      <c r="AB57" s="14"/>
      <c r="AC57" s="14"/>
      <c r="AD57" s="16" t="s">
        <v>624</v>
      </c>
      <c r="AE57" s="16" t="s">
        <v>625</v>
      </c>
      <c r="AF57" s="14"/>
      <c r="AG57" s="14"/>
      <c r="AH57" s="14" t="s">
        <v>615</v>
      </c>
    </row>
    <row r="58" customFormat="false" ht="15" hidden="false" customHeight="false" outlineLevel="0" collapsed="false">
      <c r="A58" s="14" t="s">
        <v>626</v>
      </c>
      <c r="B58" s="14" t="s">
        <v>627</v>
      </c>
      <c r="C58" s="14" t="s">
        <v>123</v>
      </c>
      <c r="D58" s="14"/>
      <c r="E58" s="14" t="s">
        <v>6</v>
      </c>
      <c r="F58" s="14" t="s">
        <v>605</v>
      </c>
      <c r="G58" s="15" t="s">
        <v>606</v>
      </c>
      <c r="H58" s="14" t="s">
        <v>607</v>
      </c>
      <c r="I58" s="14" t="s">
        <v>72</v>
      </c>
      <c r="J58" s="14" t="s">
        <v>199</v>
      </c>
      <c r="K58" s="14" t="s">
        <v>58</v>
      </c>
      <c r="L58" s="15" t="s">
        <v>91</v>
      </c>
      <c r="M58" s="14" t="s">
        <v>628</v>
      </c>
      <c r="N58" s="16" t="s">
        <v>629</v>
      </c>
      <c r="O58" s="15"/>
      <c r="P58" s="15"/>
      <c r="Q58" s="15" t="n">
        <f aca="false">IFERROR(VLOOKUP(J58,Parametros!$A$5:$B$9,2,FALSE()),0)</f>
        <v>1</v>
      </c>
      <c r="R58" s="15" t="n">
        <f aca="false">IFERROR(VLOOKUP(H58,Parametros!$D$5:$E$23,2,FALSE()),1)</f>
        <v>1</v>
      </c>
      <c r="S58" s="15" t="n">
        <f aca="false">IF(OR(N(O58)&gt;=Parametros!$H$9,AND(N(P58)&gt;0,N(P58)&lt;=Parametros!$H$10)),1,0)</f>
        <v>0</v>
      </c>
      <c r="T58" s="15" t="n">
        <f aca="false">Q58+R58+S58</f>
        <v>2</v>
      </c>
      <c r="U58" s="15" t="str">
        <f aca="false">IF(OR(V58="Inactive",V58="No encontrada",V58="Duplicado"),"Descartada",IF(AND(T58&gt;=Parametros!$H$5,S58=1),"A",IF(T58&gt;=Parametros!$H$6,"B","C")))</f>
        <v>C</v>
      </c>
      <c r="V58" s="17" t="s">
        <v>94</v>
      </c>
      <c r="W58" s="17"/>
      <c r="X58" s="14" t="s">
        <v>630</v>
      </c>
      <c r="Y58" s="14" t="s">
        <v>631</v>
      </c>
      <c r="Z58" s="14" t="s">
        <v>632</v>
      </c>
      <c r="AA58" s="16" t="s">
        <v>633</v>
      </c>
      <c r="AB58" s="14"/>
      <c r="AC58" s="14"/>
      <c r="AD58" s="14"/>
      <c r="AE58" s="16" t="s">
        <v>634</v>
      </c>
      <c r="AF58" s="14"/>
      <c r="AG58" s="14"/>
      <c r="AH58" s="14" t="s">
        <v>615</v>
      </c>
    </row>
    <row r="59" customFormat="false" ht="15" hidden="false" customHeight="false" outlineLevel="0" collapsed="false">
      <c r="A59" s="14" t="s">
        <v>635</v>
      </c>
      <c r="B59" s="14" t="s">
        <v>636</v>
      </c>
      <c r="C59" s="14" t="s">
        <v>123</v>
      </c>
      <c r="D59" s="14"/>
      <c r="E59" s="14" t="s">
        <v>6</v>
      </c>
      <c r="F59" s="14" t="s">
        <v>605</v>
      </c>
      <c r="G59" s="15" t="s">
        <v>606</v>
      </c>
      <c r="H59" s="14" t="s">
        <v>607</v>
      </c>
      <c r="I59" s="14" t="s">
        <v>72</v>
      </c>
      <c r="J59" s="14" t="s">
        <v>8</v>
      </c>
      <c r="K59" s="14" t="s">
        <v>58</v>
      </c>
      <c r="L59" s="15" t="s">
        <v>91</v>
      </c>
      <c r="M59" s="14" t="s">
        <v>628</v>
      </c>
      <c r="N59" s="16" t="s">
        <v>629</v>
      </c>
      <c r="O59" s="15"/>
      <c r="P59" s="15"/>
      <c r="Q59" s="15" t="n">
        <f aca="false">IFERROR(VLOOKUP(J59,Parametros!$A$5:$B$9,2,FALSE()),0)</f>
        <v>3</v>
      </c>
      <c r="R59" s="15" t="n">
        <f aca="false">IFERROR(VLOOKUP(H59,Parametros!$D$5:$E$23,2,FALSE()),1)</f>
        <v>1</v>
      </c>
      <c r="S59" s="15" t="n">
        <f aca="false">IF(OR(N(O59)&gt;=Parametros!$H$9,AND(N(P59)&gt;0,N(P59)&lt;=Parametros!$H$10)),1,0)</f>
        <v>0</v>
      </c>
      <c r="T59" s="15" t="n">
        <f aca="false">Q59+R59+S59</f>
        <v>4</v>
      </c>
      <c r="U59" s="15" t="str">
        <f aca="false">IF(OR(V59="Inactive",V59="No encontrada",V59="Duplicado"),"Descartada",IF(AND(T59&gt;=Parametros!$H$5,S59=1),"A",IF(T59&gt;=Parametros!$H$6,"B","C")))</f>
        <v>B</v>
      </c>
      <c r="V59" s="17" t="s">
        <v>94</v>
      </c>
      <c r="W59" s="17"/>
      <c r="X59" s="14" t="s">
        <v>637</v>
      </c>
      <c r="Y59" s="14" t="s">
        <v>638</v>
      </c>
      <c r="Z59" s="14"/>
      <c r="AA59" s="16" t="s">
        <v>639</v>
      </c>
      <c r="AB59" s="14"/>
      <c r="AC59" s="14"/>
      <c r="AD59" s="14"/>
      <c r="AE59" s="16" t="s">
        <v>640</v>
      </c>
      <c r="AF59" s="14"/>
      <c r="AG59" s="14" t="s">
        <v>584</v>
      </c>
      <c r="AH59" s="14" t="s">
        <v>615</v>
      </c>
    </row>
    <row r="60" customFormat="false" ht="23.85" hidden="false" customHeight="false" outlineLevel="0" collapsed="false">
      <c r="A60" s="14" t="s">
        <v>641</v>
      </c>
      <c r="B60" s="14" t="s">
        <v>642</v>
      </c>
      <c r="C60" s="14" t="s">
        <v>123</v>
      </c>
      <c r="D60" s="14"/>
      <c r="E60" s="14" t="s">
        <v>6</v>
      </c>
      <c r="F60" s="14" t="s">
        <v>605</v>
      </c>
      <c r="G60" s="15" t="s">
        <v>606</v>
      </c>
      <c r="H60" s="14" t="s">
        <v>607</v>
      </c>
      <c r="I60" s="14" t="s">
        <v>210</v>
      </c>
      <c r="J60" s="14" t="s">
        <v>199</v>
      </c>
      <c r="K60" s="14" t="s">
        <v>61</v>
      </c>
      <c r="L60" s="15" t="s">
        <v>91</v>
      </c>
      <c r="M60" s="14" t="s">
        <v>628</v>
      </c>
      <c r="N60" s="16" t="s">
        <v>629</v>
      </c>
      <c r="O60" s="15"/>
      <c r="P60" s="15"/>
      <c r="Q60" s="15" t="n">
        <f aca="false">IFERROR(VLOOKUP(J60,Parametros!$A$5:$B$9,2,FALSE()),0)</f>
        <v>1</v>
      </c>
      <c r="R60" s="15" t="n">
        <f aca="false">IFERROR(VLOOKUP(H60,Parametros!$D$5:$E$23,2,FALSE()),1)</f>
        <v>1</v>
      </c>
      <c r="S60" s="15" t="n">
        <f aca="false">IF(OR(N(O60)&gt;=Parametros!$H$9,AND(N(P60)&gt;0,N(P60)&lt;=Parametros!$H$10)),1,0)</f>
        <v>0</v>
      </c>
      <c r="T60" s="15" t="n">
        <f aca="false">Q60+R60+S60</f>
        <v>2</v>
      </c>
      <c r="U60" s="15" t="str">
        <f aca="false">IF(OR(V60="Inactive",V60="No encontrada",V60="Duplicado"),"Descartada",IF(AND(T60&gt;=Parametros!$H$5,S60=1),"A",IF(T60&gt;=Parametros!$H$6,"B","C")))</f>
        <v>C</v>
      </c>
      <c r="V60" s="17" t="s">
        <v>94</v>
      </c>
      <c r="W60" s="17"/>
      <c r="X60" s="14" t="s">
        <v>643</v>
      </c>
      <c r="Y60" s="14" t="s">
        <v>644</v>
      </c>
      <c r="Z60" s="14" t="s">
        <v>645</v>
      </c>
      <c r="AA60" s="14"/>
      <c r="AB60" s="14"/>
      <c r="AC60" s="14"/>
      <c r="AD60" s="16" t="s">
        <v>646</v>
      </c>
      <c r="AE60" s="16" t="s">
        <v>646</v>
      </c>
      <c r="AF60" s="14" t="s">
        <v>81</v>
      </c>
      <c r="AG60" s="14" t="s">
        <v>647</v>
      </c>
      <c r="AH60" s="14" t="s">
        <v>615</v>
      </c>
    </row>
    <row r="61" customFormat="false" ht="15" hidden="false" customHeight="false" outlineLevel="0" collapsed="false">
      <c r="A61" s="14" t="s">
        <v>648</v>
      </c>
      <c r="B61" s="14" t="s">
        <v>649</v>
      </c>
      <c r="C61" s="14" t="s">
        <v>123</v>
      </c>
      <c r="D61" s="14"/>
      <c r="E61" s="14" t="s">
        <v>6</v>
      </c>
      <c r="F61" s="14" t="s">
        <v>650</v>
      </c>
      <c r="G61" s="15" t="s">
        <v>606</v>
      </c>
      <c r="H61" s="14" t="s">
        <v>607</v>
      </c>
      <c r="I61" s="14" t="s">
        <v>210</v>
      </c>
      <c r="J61" s="14" t="s">
        <v>8</v>
      </c>
      <c r="K61" s="14" t="s">
        <v>73</v>
      </c>
      <c r="L61" s="15" t="s">
        <v>74</v>
      </c>
      <c r="M61" s="14" t="s">
        <v>651</v>
      </c>
      <c r="N61" s="16" t="s">
        <v>652</v>
      </c>
      <c r="O61" s="15"/>
      <c r="P61" s="15" t="n">
        <v>1948</v>
      </c>
      <c r="Q61" s="15" t="n">
        <f aca="false">IFERROR(VLOOKUP(J61,Parametros!$A$5:$B$9,2,FALSE()),0)</f>
        <v>3</v>
      </c>
      <c r="R61" s="15" t="n">
        <f aca="false">IFERROR(VLOOKUP(H61,Parametros!$D$5:$E$23,2,FALSE()),1)</f>
        <v>1</v>
      </c>
      <c r="S61" s="15" t="n">
        <f aca="false">IF(OR(N(O61)&gt;=Parametros!$H$9,AND(N(P61)&gt;0,N(P61)&lt;=Parametros!$H$10)),1,0)</f>
        <v>1</v>
      </c>
      <c r="T61" s="15" t="n">
        <f aca="false">Q61+R61+S61</f>
        <v>5</v>
      </c>
      <c r="U61" s="15" t="str">
        <f aca="false">IF(OR(V61="Inactive",V61="No encontrada",V61="Duplicado"),"Descartada",IF(AND(T61&gt;=Parametros!$H$5,S61=1),"A",IF(T61&gt;=Parametros!$H$6,"B","C")))</f>
        <v>B</v>
      </c>
      <c r="V61" s="17" t="s">
        <v>94</v>
      </c>
      <c r="W61" s="17"/>
      <c r="X61" s="14" t="s">
        <v>653</v>
      </c>
      <c r="Y61" s="14" t="s">
        <v>654</v>
      </c>
      <c r="Z61" s="14"/>
      <c r="AA61" s="14"/>
      <c r="AB61" s="14"/>
      <c r="AC61" s="14"/>
      <c r="AD61" s="14"/>
      <c r="AE61" s="16" t="s">
        <v>655</v>
      </c>
      <c r="AF61" s="14"/>
      <c r="AG61" s="14" t="s">
        <v>100</v>
      </c>
      <c r="AH61" s="14" t="s">
        <v>615</v>
      </c>
    </row>
    <row r="62" customFormat="false" ht="15" hidden="false" customHeight="false" outlineLevel="0" collapsed="false">
      <c r="A62" s="14" t="s">
        <v>656</v>
      </c>
      <c r="B62" s="14" t="s">
        <v>657</v>
      </c>
      <c r="C62" s="14" t="s">
        <v>658</v>
      </c>
      <c r="D62" s="14"/>
      <c r="E62" s="14" t="s">
        <v>6</v>
      </c>
      <c r="F62" s="14" t="s">
        <v>659</v>
      </c>
      <c r="G62" s="15" t="s">
        <v>224</v>
      </c>
      <c r="H62" s="14" t="s">
        <v>225</v>
      </c>
      <c r="I62" s="14" t="s">
        <v>210</v>
      </c>
      <c r="J62" s="14" t="s">
        <v>199</v>
      </c>
      <c r="K62" s="14" t="s">
        <v>90</v>
      </c>
      <c r="L62" s="15" t="s">
        <v>91</v>
      </c>
      <c r="M62" s="14" t="s">
        <v>660</v>
      </c>
      <c r="N62" s="16" t="s">
        <v>661</v>
      </c>
      <c r="O62" s="15"/>
      <c r="P62" s="15" t="n">
        <v>1996</v>
      </c>
      <c r="Q62" s="15" t="n">
        <f aca="false">IFERROR(VLOOKUP(J62,Parametros!$A$5:$B$9,2,FALSE()),0)</f>
        <v>1</v>
      </c>
      <c r="R62" s="15" t="n">
        <f aca="false">IFERROR(VLOOKUP(H62,Parametros!$D$5:$E$23,2,FALSE()),1)</f>
        <v>2</v>
      </c>
      <c r="S62" s="15" t="n">
        <f aca="false">IF(OR(N(O62)&gt;=Parametros!$H$9,AND(N(P62)&gt;0,N(P62)&lt;=Parametros!$H$10)),1,0)</f>
        <v>1</v>
      </c>
      <c r="T62" s="15" t="n">
        <f aca="false">Q62+R62+S62</f>
        <v>4</v>
      </c>
      <c r="U62" s="15" t="str">
        <f aca="false">IF(OR(V62="Inactive",V62="No encontrada",V62="Duplicado"),"Descartada",IF(AND(T62&gt;=Parametros!$H$5,S62=1),"A",IF(T62&gt;=Parametros!$H$6,"B","C")))</f>
        <v>B</v>
      </c>
      <c r="V62" s="17" t="s">
        <v>94</v>
      </c>
      <c r="W62" s="17"/>
      <c r="X62" s="14" t="s">
        <v>662</v>
      </c>
      <c r="Y62" s="14" t="s">
        <v>663</v>
      </c>
      <c r="Z62" s="14" t="s">
        <v>664</v>
      </c>
      <c r="AA62" s="16" t="s">
        <v>665</v>
      </c>
      <c r="AB62" s="14"/>
      <c r="AC62" s="14"/>
      <c r="AD62" s="16" t="s">
        <v>661</v>
      </c>
      <c r="AE62" s="16" t="s">
        <v>661</v>
      </c>
      <c r="AF62" s="14"/>
      <c r="AG62" s="14" t="s">
        <v>666</v>
      </c>
      <c r="AH62" s="14" t="s">
        <v>667</v>
      </c>
    </row>
    <row r="63" customFormat="false" ht="35.05" hidden="false" customHeight="false" outlineLevel="0" collapsed="false">
      <c r="A63" s="14" t="s">
        <v>668</v>
      </c>
      <c r="B63" s="14" t="s">
        <v>669</v>
      </c>
      <c r="C63" s="14" t="s">
        <v>670</v>
      </c>
      <c r="D63" s="14"/>
      <c r="E63" s="14" t="s">
        <v>9</v>
      </c>
      <c r="F63" s="14" t="s">
        <v>671</v>
      </c>
      <c r="G63" s="15" t="s">
        <v>224</v>
      </c>
      <c r="H63" s="14" t="s">
        <v>225</v>
      </c>
      <c r="I63" s="14" t="s">
        <v>72</v>
      </c>
      <c r="J63" s="14" t="s">
        <v>8</v>
      </c>
      <c r="K63" s="14" t="s">
        <v>90</v>
      </c>
      <c r="L63" s="15" t="s">
        <v>91</v>
      </c>
      <c r="M63" s="14" t="s">
        <v>672</v>
      </c>
      <c r="N63" s="16" t="s">
        <v>673</v>
      </c>
      <c r="O63" s="15" t="n">
        <v>6</v>
      </c>
      <c r="P63" s="15" t="n">
        <v>1976</v>
      </c>
      <c r="Q63" s="15" t="n">
        <f aca="false">IFERROR(VLOOKUP(J63,Parametros!$A$5:$B$9,2,FALSE()),0)</f>
        <v>3</v>
      </c>
      <c r="R63" s="15" t="n">
        <f aca="false">IFERROR(VLOOKUP(H63,Parametros!$D$5:$E$23,2,FALSE()),1)</f>
        <v>2</v>
      </c>
      <c r="S63" s="15" t="n">
        <f aca="false">IF(OR(N(O63)&gt;=Parametros!$H$9,AND(N(P63)&gt;0,N(P63)&lt;=Parametros!$H$10)),1,0)</f>
        <v>1</v>
      </c>
      <c r="T63" s="15" t="n">
        <f aca="false">Q63+R63+S63</f>
        <v>6</v>
      </c>
      <c r="U63" s="15" t="str">
        <f aca="false">IF(OR(V63="Inactive",V63="No encontrada",V63="Duplicado"),"Descartada",IF(AND(T63&gt;=Parametros!$H$5,S63=1),"A",IF(T63&gt;=Parametros!$H$6,"B","C")))</f>
        <v>A</v>
      </c>
      <c r="V63" s="17" t="s">
        <v>118</v>
      </c>
      <c r="W63" s="17"/>
      <c r="X63" s="14" t="s">
        <v>674</v>
      </c>
      <c r="Y63" s="14" t="s">
        <v>675</v>
      </c>
      <c r="Z63" s="14"/>
      <c r="AA63" s="16" t="s">
        <v>676</v>
      </c>
      <c r="AB63" s="14"/>
      <c r="AC63" s="14"/>
      <c r="AD63" s="16" t="s">
        <v>673</v>
      </c>
      <c r="AE63" s="16" t="s">
        <v>673</v>
      </c>
      <c r="AF63" s="14"/>
      <c r="AG63" s="14" t="s">
        <v>100</v>
      </c>
      <c r="AH63" s="14" t="s">
        <v>677</v>
      </c>
    </row>
    <row r="64" customFormat="false" ht="15" hidden="false" customHeight="false" outlineLevel="0" collapsed="false">
      <c r="A64" s="14" t="s">
        <v>678</v>
      </c>
      <c r="B64" s="14" t="s">
        <v>679</v>
      </c>
      <c r="C64" s="14" t="s">
        <v>670</v>
      </c>
      <c r="D64" s="14"/>
      <c r="E64" s="14" t="s">
        <v>9</v>
      </c>
      <c r="F64" s="14" t="s">
        <v>680</v>
      </c>
      <c r="G64" s="15" t="s">
        <v>224</v>
      </c>
      <c r="H64" s="14" t="s">
        <v>225</v>
      </c>
      <c r="I64" s="14" t="s">
        <v>210</v>
      </c>
      <c r="J64" s="14" t="s">
        <v>8</v>
      </c>
      <c r="K64" s="14" t="s">
        <v>58</v>
      </c>
      <c r="L64" s="15" t="s">
        <v>91</v>
      </c>
      <c r="M64" s="14" t="s">
        <v>681</v>
      </c>
      <c r="N64" s="16" t="s">
        <v>682</v>
      </c>
      <c r="O64" s="15"/>
      <c r="P64" s="15" t="n">
        <v>1993</v>
      </c>
      <c r="Q64" s="15" t="n">
        <f aca="false">IFERROR(VLOOKUP(J64,Parametros!$A$5:$B$9,2,FALSE()),0)</f>
        <v>3</v>
      </c>
      <c r="R64" s="15" t="n">
        <f aca="false">IFERROR(VLOOKUP(H64,Parametros!$D$5:$E$23,2,FALSE()),1)</f>
        <v>2</v>
      </c>
      <c r="S64" s="15" t="n">
        <f aca="false">IF(OR(N(O64)&gt;=Parametros!$H$9,AND(N(P64)&gt;0,N(P64)&lt;=Parametros!$H$10)),1,0)</f>
        <v>1</v>
      </c>
      <c r="T64" s="15" t="n">
        <f aca="false">Q64+R64+S64</f>
        <v>6</v>
      </c>
      <c r="U64" s="15" t="str">
        <f aca="false">IF(OR(V64="Inactive",V64="No encontrada",V64="Duplicado"),"Descartada",IF(AND(T64&gt;=Parametros!$H$5,S64=1),"A",IF(T64&gt;=Parametros!$H$6,"B","C")))</f>
        <v>A</v>
      </c>
      <c r="V64" s="17" t="s">
        <v>94</v>
      </c>
      <c r="W64" s="17"/>
      <c r="X64" s="14" t="s">
        <v>683</v>
      </c>
      <c r="Y64" s="14" t="s">
        <v>684</v>
      </c>
      <c r="Z64" s="14"/>
      <c r="AA64" s="16" t="s">
        <v>685</v>
      </c>
      <c r="AB64" s="14"/>
      <c r="AC64" s="14"/>
      <c r="AD64" s="14"/>
      <c r="AE64" s="16" t="s">
        <v>682</v>
      </c>
      <c r="AF64" s="14"/>
      <c r="AG64" s="14" t="s">
        <v>686</v>
      </c>
      <c r="AH64" s="14" t="s">
        <v>677</v>
      </c>
    </row>
    <row r="65" customFormat="false" ht="15" hidden="false" customHeight="false" outlineLevel="0" collapsed="false">
      <c r="A65" s="14" t="s">
        <v>687</v>
      </c>
      <c r="B65" s="14" t="s">
        <v>688</v>
      </c>
      <c r="C65" s="14" t="s">
        <v>670</v>
      </c>
      <c r="D65" s="14"/>
      <c r="E65" s="14" t="s">
        <v>9</v>
      </c>
      <c r="F65" s="14" t="s">
        <v>689</v>
      </c>
      <c r="G65" s="15" t="s">
        <v>224</v>
      </c>
      <c r="H65" s="14" t="s">
        <v>225</v>
      </c>
      <c r="I65" s="14" t="s">
        <v>210</v>
      </c>
      <c r="J65" s="14" t="s">
        <v>8</v>
      </c>
      <c r="K65" s="14" t="s">
        <v>73</v>
      </c>
      <c r="L65" s="15" t="s">
        <v>74</v>
      </c>
      <c r="M65" s="14" t="s">
        <v>690</v>
      </c>
      <c r="N65" s="16" t="s">
        <v>691</v>
      </c>
      <c r="O65" s="15"/>
      <c r="P65" s="15" t="n">
        <v>1999</v>
      </c>
      <c r="Q65" s="15" t="n">
        <f aca="false">IFERROR(VLOOKUP(J65,Parametros!$A$5:$B$9,2,FALSE()),0)</f>
        <v>3</v>
      </c>
      <c r="R65" s="15" t="n">
        <f aca="false">IFERROR(VLOOKUP(H65,Parametros!$D$5:$E$23,2,FALSE()),1)</f>
        <v>2</v>
      </c>
      <c r="S65" s="15" t="n">
        <f aca="false">IF(OR(N(O65)&gt;=Parametros!$H$9,AND(N(P65)&gt;0,N(P65)&lt;=Parametros!$H$10)),1,0)</f>
        <v>1</v>
      </c>
      <c r="T65" s="15" t="n">
        <f aca="false">Q65+R65+S65</f>
        <v>6</v>
      </c>
      <c r="U65" s="15" t="str">
        <f aca="false">IF(OR(V65="Inactive",V65="No encontrada",V65="Duplicado"),"Descartada",IF(AND(T65&gt;=Parametros!$H$5,S65=1),"A",IF(T65&gt;=Parametros!$H$6,"B","C")))</f>
        <v>A</v>
      </c>
      <c r="V65" s="17" t="s">
        <v>94</v>
      </c>
      <c r="W65" s="17"/>
      <c r="X65" s="14" t="s">
        <v>692</v>
      </c>
      <c r="Y65" s="14"/>
      <c r="Z65" s="14"/>
      <c r="AA65" s="14"/>
      <c r="AB65" s="14"/>
      <c r="AC65" s="14"/>
      <c r="AD65" s="14"/>
      <c r="AE65" s="16" t="s">
        <v>691</v>
      </c>
      <c r="AF65" s="14" t="s">
        <v>267</v>
      </c>
      <c r="AG65" s="14" t="s">
        <v>693</v>
      </c>
      <c r="AH65" s="14" t="s">
        <v>677</v>
      </c>
    </row>
    <row r="66" customFormat="false" ht="15" hidden="false" customHeight="false" outlineLevel="0" collapsed="false">
      <c r="A66" s="14" t="s">
        <v>694</v>
      </c>
      <c r="B66" s="14" t="s">
        <v>695</v>
      </c>
      <c r="C66" s="14" t="s">
        <v>670</v>
      </c>
      <c r="D66" s="14"/>
      <c r="E66" s="14" t="s">
        <v>9</v>
      </c>
      <c r="F66" s="14" t="s">
        <v>696</v>
      </c>
      <c r="G66" s="15" t="s">
        <v>224</v>
      </c>
      <c r="H66" s="14" t="s">
        <v>225</v>
      </c>
      <c r="I66" s="14" t="s">
        <v>72</v>
      </c>
      <c r="J66" s="14" t="s">
        <v>8</v>
      </c>
      <c r="K66" s="14" t="s">
        <v>73</v>
      </c>
      <c r="L66" s="15" t="s">
        <v>74</v>
      </c>
      <c r="M66" s="14" t="s">
        <v>697</v>
      </c>
      <c r="N66" s="16" t="s">
        <v>698</v>
      </c>
      <c r="O66" s="15"/>
      <c r="P66" s="15" t="n">
        <v>2006</v>
      </c>
      <c r="Q66" s="15" t="n">
        <f aca="false">IFERROR(VLOOKUP(J66,Parametros!$A$5:$B$9,2,FALSE()),0)</f>
        <v>3</v>
      </c>
      <c r="R66" s="15" t="n">
        <f aca="false">IFERROR(VLOOKUP(H66,Parametros!$D$5:$E$23,2,FALSE()),1)</f>
        <v>2</v>
      </c>
      <c r="S66" s="15" t="n">
        <f aca="false">IF(OR(N(O66)&gt;=Parametros!$H$9,AND(N(P66)&gt;0,N(P66)&lt;=Parametros!$H$10)),1,0)</f>
        <v>0</v>
      </c>
      <c r="T66" s="15" t="n">
        <f aca="false">Q66+R66+S66</f>
        <v>5</v>
      </c>
      <c r="U66" s="15" t="str">
        <f aca="false">IF(OR(V66="Inactive",V66="No encontrada",V66="Duplicado"),"Descartada",IF(AND(T66&gt;=Parametros!$H$5,S66=1),"A",IF(T66&gt;=Parametros!$H$6,"B","C")))</f>
        <v>B</v>
      </c>
      <c r="V66" s="17" t="s">
        <v>94</v>
      </c>
      <c r="W66" s="17"/>
      <c r="X66" s="14" t="s">
        <v>699</v>
      </c>
      <c r="Y66" s="14" t="s">
        <v>700</v>
      </c>
      <c r="Z66" s="14"/>
      <c r="AA66" s="14"/>
      <c r="AB66" s="14"/>
      <c r="AC66" s="14"/>
      <c r="AD66" s="14"/>
      <c r="AE66" s="16" t="s">
        <v>701</v>
      </c>
      <c r="AF66" s="14"/>
      <c r="AG66" s="14" t="s">
        <v>100</v>
      </c>
      <c r="AH66" s="14" t="s">
        <v>677</v>
      </c>
    </row>
    <row r="67" customFormat="false" ht="23.85" hidden="false" customHeight="false" outlineLevel="0" collapsed="false">
      <c r="A67" s="14" t="s">
        <v>702</v>
      </c>
      <c r="B67" s="14" t="s">
        <v>703</v>
      </c>
      <c r="C67" s="14" t="s">
        <v>670</v>
      </c>
      <c r="D67" s="14"/>
      <c r="E67" s="14" t="s">
        <v>9</v>
      </c>
      <c r="F67" s="14" t="s">
        <v>704</v>
      </c>
      <c r="G67" s="15" t="s">
        <v>224</v>
      </c>
      <c r="H67" s="14" t="s">
        <v>225</v>
      </c>
      <c r="I67" s="14" t="s">
        <v>72</v>
      </c>
      <c r="J67" s="14" t="s">
        <v>8</v>
      </c>
      <c r="K67" s="14" t="s">
        <v>61</v>
      </c>
      <c r="L67" s="15" t="s">
        <v>91</v>
      </c>
      <c r="M67" s="14" t="s">
        <v>705</v>
      </c>
      <c r="N67" s="16" t="s">
        <v>706</v>
      </c>
      <c r="O67" s="15"/>
      <c r="P67" s="15"/>
      <c r="Q67" s="15" t="n">
        <f aca="false">IFERROR(VLOOKUP(J67,Parametros!$A$5:$B$9,2,FALSE()),0)</f>
        <v>3</v>
      </c>
      <c r="R67" s="15" t="n">
        <f aca="false">IFERROR(VLOOKUP(H67,Parametros!$D$5:$E$23,2,FALSE()),1)</f>
        <v>2</v>
      </c>
      <c r="S67" s="15" t="n">
        <f aca="false">IF(OR(N(O67)&gt;=Parametros!$H$9,AND(N(P67)&gt;0,N(P67)&lt;=Parametros!$H$10)),1,0)</f>
        <v>0</v>
      </c>
      <c r="T67" s="15" t="n">
        <f aca="false">Q67+R67+S67</f>
        <v>5</v>
      </c>
      <c r="U67" s="15" t="str">
        <f aca="false">IF(OR(V67="Inactive",V67="No encontrada",V67="Duplicado"),"Descartada",IF(AND(T67&gt;=Parametros!$H$5,S67=1),"A",IF(T67&gt;=Parametros!$H$6,"B","C")))</f>
        <v>Descartada</v>
      </c>
      <c r="V67" s="17" t="s">
        <v>77</v>
      </c>
      <c r="W67" s="17"/>
      <c r="X67" s="14" t="s">
        <v>707</v>
      </c>
      <c r="Y67" s="14" t="s">
        <v>708</v>
      </c>
      <c r="Z67" s="14"/>
      <c r="AA67" s="14"/>
      <c r="AB67" s="14"/>
      <c r="AC67" s="14"/>
      <c r="AD67" s="16" t="s">
        <v>709</v>
      </c>
      <c r="AE67" s="16" t="s">
        <v>710</v>
      </c>
      <c r="AF67" s="14"/>
      <c r="AG67" s="14" t="s">
        <v>711</v>
      </c>
      <c r="AH67" s="14" t="s">
        <v>677</v>
      </c>
    </row>
    <row r="68" customFormat="false" ht="15" hidden="false" customHeight="false" outlineLevel="0" collapsed="false">
      <c r="A68" s="14" t="s">
        <v>712</v>
      </c>
      <c r="B68" s="14" t="s">
        <v>713</v>
      </c>
      <c r="C68" s="14" t="s">
        <v>714</v>
      </c>
      <c r="D68" s="14"/>
      <c r="E68" s="14" t="s">
        <v>9</v>
      </c>
      <c r="F68" s="14" t="s">
        <v>715</v>
      </c>
      <c r="G68" s="15" t="s">
        <v>224</v>
      </c>
      <c r="H68" s="14" t="s">
        <v>225</v>
      </c>
      <c r="I68" s="14" t="s">
        <v>89</v>
      </c>
      <c r="J68" s="14" t="s">
        <v>8</v>
      </c>
      <c r="K68" s="14" t="s">
        <v>61</v>
      </c>
      <c r="L68" s="15" t="s">
        <v>91</v>
      </c>
      <c r="M68" s="14" t="s">
        <v>716</v>
      </c>
      <c r="N68" s="16" t="s">
        <v>717</v>
      </c>
      <c r="O68" s="15"/>
      <c r="P68" s="15" t="n">
        <v>2014</v>
      </c>
      <c r="Q68" s="15" t="n">
        <f aca="false">IFERROR(VLOOKUP(J68,Parametros!$A$5:$B$9,2,FALSE()),0)</f>
        <v>3</v>
      </c>
      <c r="R68" s="15" t="n">
        <f aca="false">IFERROR(VLOOKUP(H68,Parametros!$D$5:$E$23,2,FALSE()),1)</f>
        <v>2</v>
      </c>
      <c r="S68" s="15" t="n">
        <f aca="false">IF(OR(N(O68)&gt;=Parametros!$H$9,AND(N(P68)&gt;0,N(P68)&lt;=Parametros!$H$10)),1,0)</f>
        <v>0</v>
      </c>
      <c r="T68" s="15" t="n">
        <f aca="false">Q68+R68+S68</f>
        <v>5</v>
      </c>
      <c r="U68" s="15" t="str">
        <f aca="false">IF(OR(V68="Inactive",V68="No encontrada",V68="Duplicado"),"Descartada",IF(AND(T68&gt;=Parametros!$H$5,S68=1),"A",IF(T68&gt;=Parametros!$H$6,"B","C")))</f>
        <v>B</v>
      </c>
      <c r="V68" s="17" t="s">
        <v>94</v>
      </c>
      <c r="W68" s="17"/>
      <c r="X68" s="14" t="s">
        <v>718</v>
      </c>
      <c r="Y68" s="14" t="s">
        <v>719</v>
      </c>
      <c r="Z68" s="14"/>
      <c r="AA68" s="14"/>
      <c r="AB68" s="14"/>
      <c r="AC68" s="14"/>
      <c r="AD68" s="16" t="s">
        <v>717</v>
      </c>
      <c r="AE68" s="16" t="s">
        <v>720</v>
      </c>
      <c r="AF68" s="14"/>
      <c r="AG68" s="14" t="s">
        <v>100</v>
      </c>
      <c r="AH68" s="14" t="s">
        <v>677</v>
      </c>
    </row>
    <row r="69" customFormat="false" ht="15" hidden="false" customHeight="false" outlineLevel="0" collapsed="false">
      <c r="A69" s="14" t="s">
        <v>721</v>
      </c>
      <c r="B69" s="14" t="s">
        <v>722</v>
      </c>
      <c r="C69" s="14" t="s">
        <v>670</v>
      </c>
      <c r="D69" s="14"/>
      <c r="E69" s="14" t="s">
        <v>9</v>
      </c>
      <c r="F69" s="14" t="s">
        <v>723</v>
      </c>
      <c r="G69" s="15" t="s">
        <v>224</v>
      </c>
      <c r="H69" s="14" t="s">
        <v>225</v>
      </c>
      <c r="I69" s="14" t="s">
        <v>210</v>
      </c>
      <c r="J69" s="14" t="s">
        <v>148</v>
      </c>
      <c r="K69" s="14" t="s">
        <v>90</v>
      </c>
      <c r="L69" s="15" t="s">
        <v>91</v>
      </c>
      <c r="M69" s="14" t="s">
        <v>724</v>
      </c>
      <c r="N69" s="16" t="s">
        <v>725</v>
      </c>
      <c r="O69" s="15"/>
      <c r="P69" s="15"/>
      <c r="Q69" s="15" t="n">
        <f aca="false">IFERROR(VLOOKUP(J69,Parametros!$A$5:$B$9,2,FALSE()),0)</f>
        <v>3</v>
      </c>
      <c r="R69" s="15" t="n">
        <f aca="false">IFERROR(VLOOKUP(H69,Parametros!$D$5:$E$23,2,FALSE()),1)</f>
        <v>2</v>
      </c>
      <c r="S69" s="15" t="n">
        <f aca="false">IF(OR(N(O69)&gt;=Parametros!$H$9,AND(N(P69)&gt;0,N(P69)&lt;=Parametros!$H$10)),1,0)</f>
        <v>0</v>
      </c>
      <c r="T69" s="15" t="n">
        <f aca="false">Q69+R69+S69</f>
        <v>5</v>
      </c>
      <c r="U69" s="15" t="str">
        <f aca="false">IF(OR(V69="Inactive",V69="No encontrada",V69="Duplicado"),"Descartada",IF(AND(T69&gt;=Parametros!$H$5,S69=1),"A",IF(T69&gt;=Parametros!$H$6,"B","C")))</f>
        <v>B</v>
      </c>
      <c r="V69" s="17" t="s">
        <v>94</v>
      </c>
      <c r="W69" s="17"/>
      <c r="X69" s="14"/>
      <c r="Y69" s="14" t="s">
        <v>726</v>
      </c>
      <c r="Z69" s="14" t="s">
        <v>727</v>
      </c>
      <c r="AA69" s="16" t="s">
        <v>728</v>
      </c>
      <c r="AB69" s="14"/>
      <c r="AC69" s="14"/>
      <c r="AD69" s="16" t="s">
        <v>725</v>
      </c>
      <c r="AE69" s="16" t="s">
        <v>729</v>
      </c>
      <c r="AF69" s="14"/>
      <c r="AG69" s="14" t="s">
        <v>730</v>
      </c>
      <c r="AH69" s="14" t="s">
        <v>677</v>
      </c>
    </row>
    <row r="70" customFormat="false" ht="15" hidden="false" customHeight="false" outlineLevel="0" collapsed="false">
      <c r="A70" s="14" t="s">
        <v>731</v>
      </c>
      <c r="B70" s="14" t="s">
        <v>732</v>
      </c>
      <c r="C70" s="14" t="s">
        <v>733</v>
      </c>
      <c r="D70" s="14"/>
      <c r="E70" s="14" t="s">
        <v>9</v>
      </c>
      <c r="F70" s="14" t="s">
        <v>564</v>
      </c>
      <c r="G70" s="15" t="s">
        <v>125</v>
      </c>
      <c r="H70" s="14" t="s">
        <v>126</v>
      </c>
      <c r="I70" s="14" t="s">
        <v>72</v>
      </c>
      <c r="J70" s="14" t="s">
        <v>8</v>
      </c>
      <c r="K70" s="14" t="s">
        <v>58</v>
      </c>
      <c r="L70" s="15" t="s">
        <v>91</v>
      </c>
      <c r="M70" s="14" t="s">
        <v>734</v>
      </c>
      <c r="N70" s="16" t="s">
        <v>735</v>
      </c>
      <c r="O70" s="15"/>
      <c r="P70" s="15" t="n">
        <v>2008</v>
      </c>
      <c r="Q70" s="15" t="n">
        <f aca="false">IFERROR(VLOOKUP(J70,Parametros!$A$5:$B$9,2,FALSE()),0)</f>
        <v>3</v>
      </c>
      <c r="R70" s="15" t="n">
        <f aca="false">IFERROR(VLOOKUP(H70,Parametros!$D$5:$E$23,2,FALSE()),1)</f>
        <v>3</v>
      </c>
      <c r="S70" s="15" t="n">
        <f aca="false">IF(OR(N(O70)&gt;=Parametros!$H$9,AND(N(P70)&gt;0,N(P70)&lt;=Parametros!$H$10)),1,0)</f>
        <v>0</v>
      </c>
      <c r="T70" s="15" t="n">
        <f aca="false">Q70+R70+S70</f>
        <v>6</v>
      </c>
      <c r="U70" s="15" t="str">
        <f aca="false">IF(OR(V70="Inactive",V70="No encontrada",V70="Duplicado"),"Descartada",IF(AND(T70&gt;=Parametros!$H$5,S70=1),"A",IF(T70&gt;=Parametros!$H$6,"B","C")))</f>
        <v>B</v>
      </c>
      <c r="V70" s="17" t="s">
        <v>94</v>
      </c>
      <c r="W70" s="17"/>
      <c r="X70" s="14" t="s">
        <v>736</v>
      </c>
      <c r="Y70" s="14" t="s">
        <v>737</v>
      </c>
      <c r="Z70" s="14"/>
      <c r="AA70" s="16" t="s">
        <v>738</v>
      </c>
      <c r="AB70" s="14"/>
      <c r="AC70" s="14"/>
      <c r="AD70" s="14"/>
      <c r="AE70" s="16" t="s">
        <v>739</v>
      </c>
      <c r="AF70" s="14"/>
      <c r="AG70" s="14" t="s">
        <v>740</v>
      </c>
      <c r="AH70" s="14" t="s">
        <v>120</v>
      </c>
    </row>
    <row r="71" customFormat="false" ht="23.85" hidden="false" customHeight="false" outlineLevel="0" collapsed="false">
      <c r="A71" s="14" t="s">
        <v>741</v>
      </c>
      <c r="B71" s="14" t="s">
        <v>742</v>
      </c>
      <c r="C71" s="14" t="s">
        <v>733</v>
      </c>
      <c r="D71" s="14"/>
      <c r="E71" s="14" t="s">
        <v>9</v>
      </c>
      <c r="F71" s="14" t="s">
        <v>564</v>
      </c>
      <c r="G71" s="15" t="s">
        <v>125</v>
      </c>
      <c r="H71" s="14" t="s">
        <v>126</v>
      </c>
      <c r="I71" s="14" t="s">
        <v>115</v>
      </c>
      <c r="J71" s="14" t="s">
        <v>8</v>
      </c>
      <c r="K71" s="14" t="s">
        <v>73</v>
      </c>
      <c r="L71" s="15" t="s">
        <v>74</v>
      </c>
      <c r="M71" s="14" t="s">
        <v>743</v>
      </c>
      <c r="N71" s="16" t="s">
        <v>744</v>
      </c>
      <c r="O71" s="15" t="n">
        <v>3</v>
      </c>
      <c r="P71" s="15" t="n">
        <v>2006</v>
      </c>
      <c r="Q71" s="15" t="n">
        <f aca="false">IFERROR(VLOOKUP(J71,Parametros!$A$5:$B$9,2,FALSE()),0)</f>
        <v>3</v>
      </c>
      <c r="R71" s="15" t="n">
        <f aca="false">IFERROR(VLOOKUP(H71,Parametros!$D$5:$E$23,2,FALSE()),1)</f>
        <v>3</v>
      </c>
      <c r="S71" s="15" t="n">
        <f aca="false">IF(OR(N(O71)&gt;=Parametros!$H$9,AND(N(P71)&gt;0,N(P71)&lt;=Parametros!$H$10)),1,0)</f>
        <v>0</v>
      </c>
      <c r="T71" s="15" t="n">
        <f aca="false">Q71+R71+S71</f>
        <v>6</v>
      </c>
      <c r="U71" s="15" t="str">
        <f aca="false">IF(OR(V71="Inactive",V71="No encontrada",V71="Duplicado"),"Descartada",IF(AND(T71&gt;=Parametros!$H$5,S71=1),"A",IF(T71&gt;=Parametros!$H$6,"B","C")))</f>
        <v>B</v>
      </c>
      <c r="V71" s="17" t="s">
        <v>94</v>
      </c>
      <c r="W71" s="17"/>
      <c r="X71" s="14" t="s">
        <v>745</v>
      </c>
      <c r="Y71" s="14" t="s">
        <v>746</v>
      </c>
      <c r="Z71" s="14"/>
      <c r="AA71" s="14"/>
      <c r="AB71" s="14"/>
      <c r="AC71" s="14"/>
      <c r="AD71" s="14"/>
      <c r="AE71" s="16" t="s">
        <v>747</v>
      </c>
      <c r="AF71" s="14"/>
      <c r="AG71" s="14" t="s">
        <v>748</v>
      </c>
      <c r="AH71" s="14" t="s">
        <v>120</v>
      </c>
    </row>
    <row r="72" customFormat="false" ht="15" hidden="false" customHeight="false" outlineLevel="0" collapsed="false">
      <c r="A72" s="14" t="s">
        <v>749</v>
      </c>
      <c r="B72" s="14" t="s">
        <v>750</v>
      </c>
      <c r="C72" s="14" t="s">
        <v>733</v>
      </c>
      <c r="D72" s="14"/>
      <c r="E72" s="14" t="s">
        <v>9</v>
      </c>
      <c r="F72" s="14" t="s">
        <v>751</v>
      </c>
      <c r="G72" s="15" t="s">
        <v>224</v>
      </c>
      <c r="H72" s="14" t="s">
        <v>225</v>
      </c>
      <c r="I72" s="14" t="s">
        <v>72</v>
      </c>
      <c r="J72" s="14" t="s">
        <v>235</v>
      </c>
      <c r="K72" s="14" t="s">
        <v>90</v>
      </c>
      <c r="L72" s="15" t="s">
        <v>91</v>
      </c>
      <c r="M72" s="14" t="s">
        <v>752</v>
      </c>
      <c r="N72" s="16" t="s">
        <v>753</v>
      </c>
      <c r="O72" s="15"/>
      <c r="P72" s="15"/>
      <c r="Q72" s="15" t="n">
        <f aca="false">IFERROR(VLOOKUP(J72,Parametros!$A$5:$B$9,2,FALSE()),0)</f>
        <v>2</v>
      </c>
      <c r="R72" s="15" t="n">
        <f aca="false">IFERROR(VLOOKUP(H72,Parametros!$D$5:$E$23,2,FALSE()),1)</f>
        <v>2</v>
      </c>
      <c r="S72" s="15" t="n">
        <f aca="false">IF(OR(N(O72)&gt;=Parametros!$H$9,AND(N(P72)&gt;0,N(P72)&lt;=Parametros!$H$10)),1,0)</f>
        <v>0</v>
      </c>
      <c r="T72" s="15" t="n">
        <f aca="false">Q72+R72+S72</f>
        <v>4</v>
      </c>
      <c r="U72" s="15" t="str">
        <f aca="false">IF(OR(V72="Inactive",V72="No encontrada",V72="Duplicado"),"Descartada",IF(AND(T72&gt;=Parametros!$H$5,S72=1),"A",IF(T72&gt;=Parametros!$H$6,"B","C")))</f>
        <v>B</v>
      </c>
      <c r="V72" s="17" t="s">
        <v>94</v>
      </c>
      <c r="W72" s="17"/>
      <c r="X72" s="14" t="s">
        <v>754</v>
      </c>
      <c r="Y72" s="14" t="s">
        <v>755</v>
      </c>
      <c r="Z72" s="14"/>
      <c r="AA72" s="16" t="s">
        <v>756</v>
      </c>
      <c r="AB72" s="14"/>
      <c r="AC72" s="14"/>
      <c r="AD72" s="16" t="s">
        <v>757</v>
      </c>
      <c r="AE72" s="16" t="s">
        <v>758</v>
      </c>
      <c r="AF72" s="14" t="s">
        <v>81</v>
      </c>
      <c r="AG72" s="14" t="s">
        <v>759</v>
      </c>
      <c r="AH72" s="14" t="s">
        <v>120</v>
      </c>
    </row>
    <row r="73" customFormat="false" ht="15" hidden="false" customHeight="false" outlineLevel="0" collapsed="false">
      <c r="A73" s="14" t="s">
        <v>760</v>
      </c>
      <c r="B73" s="14" t="s">
        <v>761</v>
      </c>
      <c r="C73" s="14" t="s">
        <v>714</v>
      </c>
      <c r="D73" s="14"/>
      <c r="E73" s="14" t="s">
        <v>9</v>
      </c>
      <c r="F73" s="14" t="s">
        <v>762</v>
      </c>
      <c r="G73" s="15" t="s">
        <v>224</v>
      </c>
      <c r="H73" s="14" t="s">
        <v>225</v>
      </c>
      <c r="I73" s="14" t="s">
        <v>210</v>
      </c>
      <c r="J73" s="14" t="s">
        <v>8</v>
      </c>
      <c r="K73" s="14" t="s">
        <v>61</v>
      </c>
      <c r="L73" s="15" t="s">
        <v>91</v>
      </c>
      <c r="M73" s="14" t="s">
        <v>763</v>
      </c>
      <c r="N73" s="16" t="s">
        <v>764</v>
      </c>
      <c r="O73" s="15"/>
      <c r="P73" s="15" t="n">
        <v>1987</v>
      </c>
      <c r="Q73" s="15" t="n">
        <f aca="false">IFERROR(VLOOKUP(J73,Parametros!$A$5:$B$9,2,FALSE()),0)</f>
        <v>3</v>
      </c>
      <c r="R73" s="15" t="n">
        <f aca="false">IFERROR(VLOOKUP(H73,Parametros!$D$5:$E$23,2,FALSE()),1)</f>
        <v>2</v>
      </c>
      <c r="S73" s="15" t="n">
        <f aca="false">IF(OR(N(O73)&gt;=Parametros!$H$9,AND(N(P73)&gt;0,N(P73)&lt;=Parametros!$H$10)),1,0)</f>
        <v>1</v>
      </c>
      <c r="T73" s="15" t="n">
        <f aca="false">Q73+R73+S73</f>
        <v>6</v>
      </c>
      <c r="U73" s="15" t="str">
        <f aca="false">IF(OR(V73="Inactive",V73="No encontrada",V73="Duplicado"),"Descartada",IF(AND(T73&gt;=Parametros!$H$5,S73=1),"A",IF(T73&gt;=Parametros!$H$6,"B","C")))</f>
        <v>A</v>
      </c>
      <c r="V73" s="17" t="s">
        <v>94</v>
      </c>
      <c r="W73" s="17"/>
      <c r="X73" s="14" t="s">
        <v>765</v>
      </c>
      <c r="Y73" s="14" t="s">
        <v>766</v>
      </c>
      <c r="Z73" s="14"/>
      <c r="AA73" s="14"/>
      <c r="AB73" s="14"/>
      <c r="AC73" s="14"/>
      <c r="AD73" s="16" t="s">
        <v>767</v>
      </c>
      <c r="AE73" s="16" t="s">
        <v>764</v>
      </c>
      <c r="AF73" s="14" t="s">
        <v>81</v>
      </c>
      <c r="AG73" s="14" t="s">
        <v>768</v>
      </c>
      <c r="AH73" s="14" t="s">
        <v>232</v>
      </c>
    </row>
    <row r="74" customFormat="false" ht="15" hidden="false" customHeight="false" outlineLevel="0" collapsed="false">
      <c r="A74" s="14" t="s">
        <v>769</v>
      </c>
      <c r="B74" s="14" t="s">
        <v>770</v>
      </c>
      <c r="C74" s="14" t="s">
        <v>714</v>
      </c>
      <c r="D74" s="14"/>
      <c r="E74" s="14" t="s">
        <v>9</v>
      </c>
      <c r="F74" s="14" t="s">
        <v>771</v>
      </c>
      <c r="G74" s="15" t="s">
        <v>224</v>
      </c>
      <c r="H74" s="14" t="s">
        <v>225</v>
      </c>
      <c r="I74" s="14" t="s">
        <v>72</v>
      </c>
      <c r="J74" s="14" t="s">
        <v>148</v>
      </c>
      <c r="K74" s="14" t="s">
        <v>211</v>
      </c>
      <c r="L74" s="15" t="s">
        <v>91</v>
      </c>
      <c r="M74" s="14" t="s">
        <v>772</v>
      </c>
      <c r="N74" s="16" t="s">
        <v>773</v>
      </c>
      <c r="O74" s="15"/>
      <c r="P74" s="15" t="n">
        <v>2009</v>
      </c>
      <c r="Q74" s="15" t="n">
        <f aca="false">IFERROR(VLOOKUP(J74,Parametros!$A$5:$B$9,2,FALSE()),0)</f>
        <v>3</v>
      </c>
      <c r="R74" s="15" t="n">
        <f aca="false">IFERROR(VLOOKUP(H74,Parametros!$D$5:$E$23,2,FALSE()),1)</f>
        <v>2</v>
      </c>
      <c r="S74" s="15" t="n">
        <f aca="false">IF(OR(N(O74)&gt;=Parametros!$H$9,AND(N(P74)&gt;0,N(P74)&lt;=Parametros!$H$10)),1,0)</f>
        <v>0</v>
      </c>
      <c r="T74" s="15" t="n">
        <f aca="false">Q74+R74+S74</f>
        <v>5</v>
      </c>
      <c r="U74" s="15" t="str">
        <f aca="false">IF(OR(V74="Inactive",V74="No encontrada",V74="Duplicado"),"Descartada",IF(AND(T74&gt;=Parametros!$H$5,S74=1),"A",IF(T74&gt;=Parametros!$H$6,"B","C")))</f>
        <v>B</v>
      </c>
      <c r="V74" s="17" t="s">
        <v>94</v>
      </c>
      <c r="W74" s="17"/>
      <c r="X74" s="14" t="s">
        <v>774</v>
      </c>
      <c r="Y74" s="14" t="s">
        <v>775</v>
      </c>
      <c r="Z74" s="14"/>
      <c r="AA74" s="16" t="s">
        <v>776</v>
      </c>
      <c r="AB74" s="16" t="s">
        <v>777</v>
      </c>
      <c r="AC74" s="14"/>
      <c r="AD74" s="16" t="s">
        <v>778</v>
      </c>
      <c r="AE74" s="16" t="s">
        <v>779</v>
      </c>
      <c r="AF74" s="14"/>
      <c r="AG74" s="14" t="s">
        <v>780</v>
      </c>
      <c r="AH74" s="14" t="s">
        <v>232</v>
      </c>
    </row>
    <row r="75" customFormat="false" ht="23.85" hidden="false" customHeight="false" outlineLevel="0" collapsed="false">
      <c r="A75" s="14" t="s">
        <v>781</v>
      </c>
      <c r="B75" s="14" t="s">
        <v>782</v>
      </c>
      <c r="C75" s="14" t="s">
        <v>714</v>
      </c>
      <c r="D75" s="14"/>
      <c r="E75" s="14" t="s">
        <v>9</v>
      </c>
      <c r="F75" s="14" t="s">
        <v>771</v>
      </c>
      <c r="G75" s="15" t="s">
        <v>224</v>
      </c>
      <c r="H75" s="14" t="s">
        <v>225</v>
      </c>
      <c r="I75" s="14" t="s">
        <v>210</v>
      </c>
      <c r="J75" s="14" t="s">
        <v>148</v>
      </c>
      <c r="K75" s="14" t="s">
        <v>90</v>
      </c>
      <c r="L75" s="15" t="s">
        <v>91</v>
      </c>
      <c r="M75" s="14" t="s">
        <v>783</v>
      </c>
      <c r="N75" s="16" t="s">
        <v>784</v>
      </c>
      <c r="O75" s="15"/>
      <c r="P75" s="15"/>
      <c r="Q75" s="15" t="n">
        <f aca="false">IFERROR(VLOOKUP(J75,Parametros!$A$5:$B$9,2,FALSE()),0)</f>
        <v>3</v>
      </c>
      <c r="R75" s="15" t="n">
        <f aca="false">IFERROR(VLOOKUP(H75,Parametros!$D$5:$E$23,2,FALSE()),1)</f>
        <v>2</v>
      </c>
      <c r="S75" s="15" t="n">
        <f aca="false">IF(OR(N(O75)&gt;=Parametros!$H$9,AND(N(P75)&gt;0,N(P75)&lt;=Parametros!$H$10)),1,0)</f>
        <v>0</v>
      </c>
      <c r="T75" s="15" t="n">
        <f aca="false">Q75+R75+S75</f>
        <v>5</v>
      </c>
      <c r="U75" s="15" t="str">
        <f aca="false">IF(OR(V75="Inactive",V75="No encontrada",V75="Duplicado"),"Descartada",IF(AND(T75&gt;=Parametros!$H$5,S75=1),"A",IF(T75&gt;=Parametros!$H$6,"B","C")))</f>
        <v>B</v>
      </c>
      <c r="V75" s="17" t="s">
        <v>94</v>
      </c>
      <c r="W75" s="17"/>
      <c r="X75" s="14" t="s">
        <v>785</v>
      </c>
      <c r="Y75" s="14" t="s">
        <v>786</v>
      </c>
      <c r="Z75" s="14" t="s">
        <v>787</v>
      </c>
      <c r="AA75" s="16" t="s">
        <v>788</v>
      </c>
      <c r="AB75" s="14"/>
      <c r="AC75" s="14"/>
      <c r="AD75" s="16" t="s">
        <v>789</v>
      </c>
      <c r="AE75" s="16" t="s">
        <v>789</v>
      </c>
      <c r="AF75" s="14"/>
      <c r="AG75" s="14" t="s">
        <v>790</v>
      </c>
      <c r="AH75" s="14" t="s">
        <v>232</v>
      </c>
    </row>
    <row r="76" customFormat="false" ht="15" hidden="false" customHeight="false" outlineLevel="0" collapsed="false">
      <c r="A76" s="14" t="s">
        <v>791</v>
      </c>
      <c r="B76" s="14" t="s">
        <v>792</v>
      </c>
      <c r="C76" s="14" t="s">
        <v>714</v>
      </c>
      <c r="D76" s="14"/>
      <c r="E76" s="14" t="s">
        <v>9</v>
      </c>
      <c r="F76" s="14" t="s">
        <v>771</v>
      </c>
      <c r="G76" s="15" t="s">
        <v>224</v>
      </c>
      <c r="H76" s="14" t="s">
        <v>225</v>
      </c>
      <c r="I76" s="14" t="s">
        <v>210</v>
      </c>
      <c r="J76" s="14" t="s">
        <v>199</v>
      </c>
      <c r="K76" s="14" t="s">
        <v>61</v>
      </c>
      <c r="L76" s="15" t="s">
        <v>91</v>
      </c>
      <c r="M76" s="14" t="s">
        <v>783</v>
      </c>
      <c r="N76" s="16" t="s">
        <v>793</v>
      </c>
      <c r="O76" s="15"/>
      <c r="P76" s="15"/>
      <c r="Q76" s="15" t="n">
        <f aca="false">IFERROR(VLOOKUP(J76,Parametros!$A$5:$B$9,2,FALSE()),0)</f>
        <v>1</v>
      </c>
      <c r="R76" s="15" t="n">
        <f aca="false">IFERROR(VLOOKUP(H76,Parametros!$D$5:$E$23,2,FALSE()),1)</f>
        <v>2</v>
      </c>
      <c r="S76" s="15" t="n">
        <f aca="false">IF(OR(N(O76)&gt;=Parametros!$H$9,AND(N(P76)&gt;0,N(P76)&lt;=Parametros!$H$10)),1,0)</f>
        <v>0</v>
      </c>
      <c r="T76" s="15" t="n">
        <f aca="false">Q76+R76+S76</f>
        <v>3</v>
      </c>
      <c r="U76" s="15" t="str">
        <f aca="false">IF(OR(V76="Inactive",V76="No encontrada",V76="Duplicado"),"Descartada",IF(AND(T76&gt;=Parametros!$H$5,S76=1),"A",IF(T76&gt;=Parametros!$H$6,"B","C")))</f>
        <v>C</v>
      </c>
      <c r="V76" s="17" t="s">
        <v>94</v>
      </c>
      <c r="W76" s="17"/>
      <c r="X76" s="14" t="s">
        <v>794</v>
      </c>
      <c r="Y76" s="14" t="s">
        <v>795</v>
      </c>
      <c r="Z76" s="14" t="s">
        <v>796</v>
      </c>
      <c r="AA76" s="14"/>
      <c r="AB76" s="14"/>
      <c r="AC76" s="14"/>
      <c r="AD76" s="16" t="s">
        <v>797</v>
      </c>
      <c r="AE76" s="16" t="s">
        <v>797</v>
      </c>
      <c r="AF76" s="14"/>
      <c r="AG76" s="14"/>
      <c r="AH76" s="14" t="s">
        <v>232</v>
      </c>
    </row>
    <row r="77" customFormat="false" ht="23.85" hidden="false" customHeight="false" outlineLevel="0" collapsed="false">
      <c r="A77" s="14" t="s">
        <v>798</v>
      </c>
      <c r="B77" s="14" t="s">
        <v>799</v>
      </c>
      <c r="C77" s="14" t="s">
        <v>714</v>
      </c>
      <c r="D77" s="14"/>
      <c r="E77" s="14" t="s">
        <v>9</v>
      </c>
      <c r="F77" s="14" t="s">
        <v>223</v>
      </c>
      <c r="G77" s="15" t="s">
        <v>224</v>
      </c>
      <c r="H77" s="14" t="s">
        <v>225</v>
      </c>
      <c r="I77" s="14" t="s">
        <v>210</v>
      </c>
      <c r="J77" s="14" t="s">
        <v>8</v>
      </c>
      <c r="K77" s="14" t="s">
        <v>90</v>
      </c>
      <c r="L77" s="15" t="s">
        <v>91</v>
      </c>
      <c r="M77" s="14" t="s">
        <v>783</v>
      </c>
      <c r="N77" s="16" t="s">
        <v>800</v>
      </c>
      <c r="O77" s="15"/>
      <c r="P77" s="15"/>
      <c r="Q77" s="15" t="n">
        <f aca="false">IFERROR(VLOOKUP(J77,Parametros!$A$5:$B$9,2,FALSE()),0)</f>
        <v>3</v>
      </c>
      <c r="R77" s="15" t="n">
        <f aca="false">IFERROR(VLOOKUP(H77,Parametros!$D$5:$E$23,2,FALSE()),1)</f>
        <v>2</v>
      </c>
      <c r="S77" s="15" t="n">
        <f aca="false">IF(OR(N(O77)&gt;=Parametros!$H$9,AND(N(P77)&gt;0,N(P77)&lt;=Parametros!$H$10)),1,0)</f>
        <v>0</v>
      </c>
      <c r="T77" s="15" t="n">
        <f aca="false">Q77+R77+S77</f>
        <v>5</v>
      </c>
      <c r="U77" s="15" t="str">
        <f aca="false">IF(OR(V77="Inactive",V77="No encontrada",V77="Duplicado"),"Descartada",IF(AND(T77&gt;=Parametros!$H$5,S77=1),"A",IF(T77&gt;=Parametros!$H$6,"B","C")))</f>
        <v>B</v>
      </c>
      <c r="V77" s="17" t="s">
        <v>94</v>
      </c>
      <c r="W77" s="17"/>
      <c r="X77" s="14" t="s">
        <v>801</v>
      </c>
      <c r="Y77" s="14" t="s">
        <v>802</v>
      </c>
      <c r="Z77" s="14"/>
      <c r="AA77" s="16" t="s">
        <v>803</v>
      </c>
      <c r="AB77" s="14"/>
      <c r="AC77" s="14"/>
      <c r="AD77" s="16" t="s">
        <v>804</v>
      </c>
      <c r="AE77" s="16" t="s">
        <v>800</v>
      </c>
      <c r="AF77" s="14"/>
      <c r="AG77" s="14" t="s">
        <v>805</v>
      </c>
      <c r="AH77" s="14" t="s">
        <v>232</v>
      </c>
    </row>
    <row r="78" customFormat="false" ht="15" hidden="false" customHeight="false" outlineLevel="0" collapsed="false">
      <c r="A78" s="14" t="s">
        <v>806</v>
      </c>
      <c r="B78" s="14" t="s">
        <v>807</v>
      </c>
      <c r="C78" s="14" t="s">
        <v>670</v>
      </c>
      <c r="D78" s="14"/>
      <c r="E78" s="14" t="s">
        <v>9</v>
      </c>
      <c r="F78" s="14" t="s">
        <v>808</v>
      </c>
      <c r="G78" s="15" t="s">
        <v>224</v>
      </c>
      <c r="H78" s="14" t="s">
        <v>225</v>
      </c>
      <c r="I78" s="14" t="s">
        <v>210</v>
      </c>
      <c r="J78" s="14" t="s">
        <v>199</v>
      </c>
      <c r="K78" s="14" t="s">
        <v>211</v>
      </c>
      <c r="L78" s="15" t="s">
        <v>91</v>
      </c>
      <c r="M78" s="14" t="s">
        <v>809</v>
      </c>
      <c r="N78" s="16" t="s">
        <v>810</v>
      </c>
      <c r="O78" s="15"/>
      <c r="P78" s="15"/>
      <c r="Q78" s="15" t="n">
        <f aca="false">IFERROR(VLOOKUP(J78,Parametros!$A$5:$B$9,2,FALSE()),0)</f>
        <v>1</v>
      </c>
      <c r="R78" s="15" t="n">
        <f aca="false">IFERROR(VLOOKUP(H78,Parametros!$D$5:$E$23,2,FALSE()),1)</f>
        <v>2</v>
      </c>
      <c r="S78" s="15" t="n">
        <f aca="false">IF(OR(N(O78)&gt;=Parametros!$H$9,AND(N(P78)&gt;0,N(P78)&lt;=Parametros!$H$10)),1,0)</f>
        <v>0</v>
      </c>
      <c r="T78" s="15" t="n">
        <f aca="false">Q78+R78+S78</f>
        <v>3</v>
      </c>
      <c r="U78" s="15" t="str">
        <f aca="false">IF(OR(V78="Inactive",V78="No encontrada",V78="Duplicado"),"Descartada",IF(AND(T78&gt;=Parametros!$H$5,S78=1),"A",IF(T78&gt;=Parametros!$H$6,"B","C")))</f>
        <v>C</v>
      </c>
      <c r="V78" s="17" t="s">
        <v>94</v>
      </c>
      <c r="W78" s="17"/>
      <c r="X78" s="14" t="s">
        <v>811</v>
      </c>
      <c r="Y78" s="14" t="s">
        <v>812</v>
      </c>
      <c r="Z78" s="14" t="s">
        <v>813</v>
      </c>
      <c r="AA78" s="16" t="s">
        <v>814</v>
      </c>
      <c r="AB78" s="16" t="s">
        <v>815</v>
      </c>
      <c r="AC78" s="14"/>
      <c r="AD78" s="16" t="s">
        <v>816</v>
      </c>
      <c r="AE78" s="16" t="s">
        <v>817</v>
      </c>
      <c r="AF78" s="14"/>
      <c r="AG78" s="14" t="s">
        <v>818</v>
      </c>
      <c r="AH78" s="14" t="s">
        <v>677</v>
      </c>
    </row>
    <row r="79" customFormat="false" ht="23.85" hidden="false" customHeight="false" outlineLevel="0" collapsed="false">
      <c r="A79" s="14" t="s">
        <v>819</v>
      </c>
      <c r="B79" s="14" t="s">
        <v>820</v>
      </c>
      <c r="C79" s="14" t="s">
        <v>714</v>
      </c>
      <c r="D79" s="14"/>
      <c r="E79" s="14" t="s">
        <v>9</v>
      </c>
      <c r="F79" s="14" t="s">
        <v>821</v>
      </c>
      <c r="G79" s="15" t="s">
        <v>224</v>
      </c>
      <c r="H79" s="14" t="s">
        <v>225</v>
      </c>
      <c r="I79" s="14" t="s">
        <v>210</v>
      </c>
      <c r="J79" s="14" t="s">
        <v>199</v>
      </c>
      <c r="K79" s="14" t="s">
        <v>90</v>
      </c>
      <c r="L79" s="15" t="s">
        <v>91</v>
      </c>
      <c r="M79" s="14" t="s">
        <v>809</v>
      </c>
      <c r="N79" s="16" t="s">
        <v>822</v>
      </c>
      <c r="O79" s="15"/>
      <c r="P79" s="15"/>
      <c r="Q79" s="15" t="n">
        <f aca="false">IFERROR(VLOOKUP(J79,Parametros!$A$5:$B$9,2,FALSE()),0)</f>
        <v>1</v>
      </c>
      <c r="R79" s="15" t="n">
        <f aca="false">IFERROR(VLOOKUP(H79,Parametros!$D$5:$E$23,2,FALSE()),1)</f>
        <v>2</v>
      </c>
      <c r="S79" s="15" t="n">
        <f aca="false">IF(OR(N(O79)&gt;=Parametros!$H$9,AND(N(P79)&gt;0,N(P79)&lt;=Parametros!$H$10)),1,0)</f>
        <v>0</v>
      </c>
      <c r="T79" s="15" t="n">
        <f aca="false">Q79+R79+S79</f>
        <v>3</v>
      </c>
      <c r="U79" s="15" t="str">
        <f aca="false">IF(OR(V79="Inactive",V79="No encontrada",V79="Duplicado"),"Descartada",IF(AND(T79&gt;=Parametros!$H$5,S79=1),"A",IF(T79&gt;=Parametros!$H$6,"B","C")))</f>
        <v>C</v>
      </c>
      <c r="V79" s="17" t="s">
        <v>94</v>
      </c>
      <c r="W79" s="17"/>
      <c r="X79" s="14" t="s">
        <v>823</v>
      </c>
      <c r="Y79" s="14" t="s">
        <v>824</v>
      </c>
      <c r="Z79" s="14" t="s">
        <v>825</v>
      </c>
      <c r="AA79" s="16" t="s">
        <v>826</v>
      </c>
      <c r="AB79" s="14"/>
      <c r="AC79" s="14"/>
      <c r="AD79" s="16" t="s">
        <v>827</v>
      </c>
      <c r="AE79" s="16" t="s">
        <v>828</v>
      </c>
      <c r="AF79" s="14"/>
      <c r="AG79" s="14"/>
      <c r="AH79" s="14" t="s">
        <v>677</v>
      </c>
    </row>
    <row r="80" customFormat="false" ht="15" hidden="false" customHeight="false" outlineLevel="0" collapsed="false">
      <c r="A80" s="14" t="s">
        <v>829</v>
      </c>
      <c r="B80" s="14" t="s">
        <v>830</v>
      </c>
      <c r="C80" s="14" t="s">
        <v>714</v>
      </c>
      <c r="D80" s="14"/>
      <c r="E80" s="14" t="s">
        <v>9</v>
      </c>
      <c r="F80" s="14" t="s">
        <v>831</v>
      </c>
      <c r="G80" s="15" t="s">
        <v>224</v>
      </c>
      <c r="H80" s="14" t="s">
        <v>225</v>
      </c>
      <c r="I80" s="14" t="s">
        <v>89</v>
      </c>
      <c r="J80" s="14" t="s">
        <v>199</v>
      </c>
      <c r="K80" s="14" t="s">
        <v>73</v>
      </c>
      <c r="L80" s="15" t="s">
        <v>74</v>
      </c>
      <c r="M80" s="14" t="s">
        <v>809</v>
      </c>
      <c r="N80" s="16" t="s">
        <v>832</v>
      </c>
      <c r="O80" s="15"/>
      <c r="P80" s="15"/>
      <c r="Q80" s="15" t="n">
        <f aca="false">IFERROR(VLOOKUP(J80,Parametros!$A$5:$B$9,2,FALSE()),0)</f>
        <v>1</v>
      </c>
      <c r="R80" s="15" t="n">
        <f aca="false">IFERROR(VLOOKUP(H80,Parametros!$D$5:$E$23,2,FALSE()),1)</f>
        <v>2</v>
      </c>
      <c r="S80" s="15" t="n">
        <f aca="false">IF(OR(N(O80)&gt;=Parametros!$H$9,AND(N(P80)&gt;0,N(P80)&lt;=Parametros!$H$10)),1,0)</f>
        <v>0</v>
      </c>
      <c r="T80" s="15" t="n">
        <f aca="false">Q80+R80+S80</f>
        <v>3</v>
      </c>
      <c r="U80" s="15" t="str">
        <f aca="false">IF(OR(V80="Inactive",V80="No encontrada",V80="Duplicado"),"Descartada",IF(AND(T80&gt;=Parametros!$H$5,S80=1),"A",IF(T80&gt;=Parametros!$H$6,"B","C")))</f>
        <v>C</v>
      </c>
      <c r="V80" s="17" t="s">
        <v>94</v>
      </c>
      <c r="W80" s="17"/>
      <c r="X80" s="14"/>
      <c r="Y80" s="14" t="s">
        <v>833</v>
      </c>
      <c r="Z80" s="14" t="s">
        <v>834</v>
      </c>
      <c r="AA80" s="14"/>
      <c r="AB80" s="14"/>
      <c r="AC80" s="14"/>
      <c r="AD80" s="14"/>
      <c r="AE80" s="16" t="s">
        <v>835</v>
      </c>
      <c r="AF80" s="14"/>
      <c r="AG80" s="14" t="s">
        <v>836</v>
      </c>
      <c r="AH80" s="14" t="s">
        <v>677</v>
      </c>
    </row>
    <row r="81" customFormat="false" ht="15" hidden="false" customHeight="false" outlineLevel="0" collapsed="false">
      <c r="A81" s="14" t="s">
        <v>837</v>
      </c>
      <c r="B81" s="14" t="s">
        <v>838</v>
      </c>
      <c r="C81" s="14" t="s">
        <v>714</v>
      </c>
      <c r="D81" s="14"/>
      <c r="E81" s="14" t="s">
        <v>9</v>
      </c>
      <c r="F81" s="14" t="s">
        <v>839</v>
      </c>
      <c r="G81" s="15" t="s">
        <v>125</v>
      </c>
      <c r="H81" s="14" t="s">
        <v>126</v>
      </c>
      <c r="I81" s="14" t="s">
        <v>89</v>
      </c>
      <c r="J81" s="14" t="s">
        <v>199</v>
      </c>
      <c r="K81" s="14" t="s">
        <v>90</v>
      </c>
      <c r="L81" s="15" t="s">
        <v>91</v>
      </c>
      <c r="M81" s="14" t="s">
        <v>840</v>
      </c>
      <c r="N81" s="16" t="s">
        <v>841</v>
      </c>
      <c r="O81" s="15"/>
      <c r="P81" s="15"/>
      <c r="Q81" s="15" t="n">
        <f aca="false">IFERROR(VLOOKUP(J81,Parametros!$A$5:$B$9,2,FALSE()),0)</f>
        <v>1</v>
      </c>
      <c r="R81" s="15" t="n">
        <f aca="false">IFERROR(VLOOKUP(H81,Parametros!$D$5:$E$23,2,FALSE()),1)</f>
        <v>3</v>
      </c>
      <c r="S81" s="15" t="n">
        <f aca="false">IF(OR(N(O81)&gt;=Parametros!$H$9,AND(N(P81)&gt;0,N(P81)&lt;=Parametros!$H$10)),1,0)</f>
        <v>0</v>
      </c>
      <c r="T81" s="15" t="n">
        <f aca="false">Q81+R81+S81</f>
        <v>4</v>
      </c>
      <c r="U81" s="15" t="str">
        <f aca="false">IF(OR(V81="Inactive",V81="No encontrada",V81="Duplicado"),"Descartada",IF(AND(T81&gt;=Parametros!$H$5,S81=1),"A",IF(T81&gt;=Parametros!$H$6,"B","C")))</f>
        <v>B</v>
      </c>
      <c r="V81" s="17" t="s">
        <v>94</v>
      </c>
      <c r="W81" s="17"/>
      <c r="X81" s="14" t="s">
        <v>842</v>
      </c>
      <c r="Y81" s="14" t="s">
        <v>843</v>
      </c>
      <c r="Z81" s="14" t="s">
        <v>844</v>
      </c>
      <c r="AA81" s="16" t="s">
        <v>845</v>
      </c>
      <c r="AB81" s="14"/>
      <c r="AC81" s="14"/>
      <c r="AD81" s="16" t="s">
        <v>846</v>
      </c>
      <c r="AE81" s="16" t="s">
        <v>846</v>
      </c>
      <c r="AF81" s="14"/>
      <c r="AG81" s="14"/>
      <c r="AH81" s="14" t="s">
        <v>677</v>
      </c>
    </row>
    <row r="82" customFormat="false" ht="15" hidden="false" customHeight="false" outlineLevel="0" collapsed="false">
      <c r="A82" s="14" t="s">
        <v>847</v>
      </c>
      <c r="B82" s="14" t="s">
        <v>848</v>
      </c>
      <c r="C82" s="14" t="s">
        <v>714</v>
      </c>
      <c r="D82" s="14"/>
      <c r="E82" s="14" t="s">
        <v>9</v>
      </c>
      <c r="F82" s="14" t="s">
        <v>849</v>
      </c>
      <c r="G82" s="15" t="s">
        <v>125</v>
      </c>
      <c r="H82" s="14" t="s">
        <v>126</v>
      </c>
      <c r="I82" s="14" t="s">
        <v>210</v>
      </c>
      <c r="J82" s="14" t="s">
        <v>199</v>
      </c>
      <c r="K82" s="14" t="s">
        <v>61</v>
      </c>
      <c r="L82" s="15" t="s">
        <v>91</v>
      </c>
      <c r="M82" s="14" t="s">
        <v>809</v>
      </c>
      <c r="N82" s="16" t="s">
        <v>850</v>
      </c>
      <c r="O82" s="15"/>
      <c r="P82" s="15"/>
      <c r="Q82" s="15" t="n">
        <f aca="false">IFERROR(VLOOKUP(J82,Parametros!$A$5:$B$9,2,FALSE()),0)</f>
        <v>1</v>
      </c>
      <c r="R82" s="15" t="n">
        <f aca="false">IFERROR(VLOOKUP(H82,Parametros!$D$5:$E$23,2,FALSE()),1)</f>
        <v>3</v>
      </c>
      <c r="S82" s="15" t="n">
        <f aca="false">IF(OR(N(O82)&gt;=Parametros!$H$9,AND(N(P82)&gt;0,N(P82)&lt;=Parametros!$H$10)),1,0)</f>
        <v>0</v>
      </c>
      <c r="T82" s="15" t="n">
        <f aca="false">Q82+R82+S82</f>
        <v>4</v>
      </c>
      <c r="U82" s="15" t="str">
        <f aca="false">IF(OR(V82="Inactive",V82="No encontrada",V82="Duplicado"),"Descartada",IF(AND(T82&gt;=Parametros!$H$5,S82=1),"A",IF(T82&gt;=Parametros!$H$6,"B","C")))</f>
        <v>B</v>
      </c>
      <c r="V82" s="17" t="s">
        <v>94</v>
      </c>
      <c r="W82" s="17"/>
      <c r="X82" s="14" t="s">
        <v>851</v>
      </c>
      <c r="Y82" s="14" t="s">
        <v>852</v>
      </c>
      <c r="Z82" s="14" t="s">
        <v>853</v>
      </c>
      <c r="AA82" s="14"/>
      <c r="AB82" s="14"/>
      <c r="AC82" s="14"/>
      <c r="AD82" s="16" t="s">
        <v>854</v>
      </c>
      <c r="AE82" s="16" t="s">
        <v>855</v>
      </c>
      <c r="AF82" s="14"/>
      <c r="AG82" s="14" t="s">
        <v>856</v>
      </c>
      <c r="AH82" s="14" t="s">
        <v>677</v>
      </c>
    </row>
    <row r="83" customFormat="false" ht="15" hidden="false" customHeight="false" outlineLevel="0" collapsed="false">
      <c r="A83" s="14" t="s">
        <v>857</v>
      </c>
      <c r="B83" s="14" t="s">
        <v>858</v>
      </c>
      <c r="C83" s="14" t="s">
        <v>733</v>
      </c>
      <c r="D83" s="14"/>
      <c r="E83" s="14" t="s">
        <v>9</v>
      </c>
      <c r="F83" s="14" t="s">
        <v>564</v>
      </c>
      <c r="G83" s="15" t="s">
        <v>125</v>
      </c>
      <c r="H83" s="14" t="s">
        <v>126</v>
      </c>
      <c r="I83" s="14" t="s">
        <v>72</v>
      </c>
      <c r="J83" s="14" t="s">
        <v>199</v>
      </c>
      <c r="K83" s="14" t="s">
        <v>59</v>
      </c>
      <c r="L83" s="15" t="s">
        <v>91</v>
      </c>
      <c r="M83" s="14" t="s">
        <v>859</v>
      </c>
      <c r="N83" s="16" t="s">
        <v>860</v>
      </c>
      <c r="O83" s="15"/>
      <c r="P83" s="15"/>
      <c r="Q83" s="15" t="n">
        <f aca="false">IFERROR(VLOOKUP(J83,Parametros!$A$5:$B$9,2,FALSE()),0)</f>
        <v>1</v>
      </c>
      <c r="R83" s="15" t="n">
        <f aca="false">IFERROR(VLOOKUP(H83,Parametros!$D$5:$E$23,2,FALSE()),1)</f>
        <v>3</v>
      </c>
      <c r="S83" s="15" t="n">
        <f aca="false">IF(OR(N(O83)&gt;=Parametros!$H$9,AND(N(P83)&gt;0,N(P83)&lt;=Parametros!$H$10)),1,0)</f>
        <v>0</v>
      </c>
      <c r="T83" s="15" t="n">
        <f aca="false">Q83+R83+S83</f>
        <v>4</v>
      </c>
      <c r="U83" s="15" t="str">
        <f aca="false">IF(OR(V83="Inactive",V83="No encontrada",V83="Duplicado"),"Descartada",IF(AND(T83&gt;=Parametros!$H$5,S83=1),"A",IF(T83&gt;=Parametros!$H$6,"B","C")))</f>
        <v>B</v>
      </c>
      <c r="V83" s="17" t="s">
        <v>94</v>
      </c>
      <c r="W83" s="17"/>
      <c r="X83" s="14" t="s">
        <v>861</v>
      </c>
      <c r="Y83" s="14" t="s">
        <v>862</v>
      </c>
      <c r="Z83" s="14" t="s">
        <v>863</v>
      </c>
      <c r="AA83" s="14"/>
      <c r="AB83" s="16" t="s">
        <v>864</v>
      </c>
      <c r="AC83" s="14"/>
      <c r="AD83" s="14"/>
      <c r="AE83" s="16" t="s">
        <v>865</v>
      </c>
      <c r="AF83" s="14"/>
      <c r="AG83" s="14"/>
      <c r="AH83" s="14" t="s">
        <v>120</v>
      </c>
    </row>
    <row r="84" customFormat="false" ht="15" hidden="false" customHeight="false" outlineLevel="0" collapsed="false">
      <c r="A84" s="14" t="s">
        <v>866</v>
      </c>
      <c r="B84" s="14" t="s">
        <v>867</v>
      </c>
      <c r="C84" s="14" t="s">
        <v>733</v>
      </c>
      <c r="D84" s="14"/>
      <c r="E84" s="14" t="s">
        <v>9</v>
      </c>
      <c r="F84" s="14" t="s">
        <v>564</v>
      </c>
      <c r="G84" s="15" t="s">
        <v>125</v>
      </c>
      <c r="H84" s="14" t="s">
        <v>126</v>
      </c>
      <c r="I84" s="14" t="s">
        <v>89</v>
      </c>
      <c r="J84" s="14" t="s">
        <v>199</v>
      </c>
      <c r="K84" s="14" t="s">
        <v>61</v>
      </c>
      <c r="L84" s="15" t="s">
        <v>91</v>
      </c>
      <c r="M84" s="14" t="s">
        <v>809</v>
      </c>
      <c r="N84" s="16" t="s">
        <v>868</v>
      </c>
      <c r="O84" s="15"/>
      <c r="P84" s="15"/>
      <c r="Q84" s="15" t="n">
        <f aca="false">IFERROR(VLOOKUP(J84,Parametros!$A$5:$B$9,2,FALSE()),0)</f>
        <v>1</v>
      </c>
      <c r="R84" s="15" t="n">
        <f aca="false">IFERROR(VLOOKUP(H84,Parametros!$D$5:$E$23,2,FALSE()),1)</f>
        <v>3</v>
      </c>
      <c r="S84" s="15" t="n">
        <f aca="false">IF(OR(N(O84)&gt;=Parametros!$H$9,AND(N(P84)&gt;0,N(P84)&lt;=Parametros!$H$10)),1,0)</f>
        <v>0</v>
      </c>
      <c r="T84" s="15" t="n">
        <f aca="false">Q84+R84+S84</f>
        <v>4</v>
      </c>
      <c r="U84" s="15" t="str">
        <f aca="false">IF(OR(V84="Inactive",V84="No encontrada",V84="Duplicado"),"Descartada",IF(AND(T84&gt;=Parametros!$H$5,S84=1),"A",IF(T84&gt;=Parametros!$H$6,"B","C")))</f>
        <v>B</v>
      </c>
      <c r="V84" s="17" t="s">
        <v>94</v>
      </c>
      <c r="W84" s="17"/>
      <c r="X84" s="14" t="s">
        <v>869</v>
      </c>
      <c r="Y84" s="14" t="s">
        <v>870</v>
      </c>
      <c r="Z84" s="14" t="s">
        <v>871</v>
      </c>
      <c r="AA84" s="14"/>
      <c r="AB84" s="14"/>
      <c r="AC84" s="14"/>
      <c r="AD84" s="16" t="s">
        <v>872</v>
      </c>
      <c r="AE84" s="16" t="s">
        <v>873</v>
      </c>
      <c r="AF84" s="14"/>
      <c r="AG84" s="14"/>
      <c r="AH84" s="14" t="s">
        <v>120</v>
      </c>
    </row>
    <row r="85" customFormat="false" ht="15" hidden="false" customHeight="false" outlineLevel="0" collapsed="false">
      <c r="A85" s="14" t="s">
        <v>874</v>
      </c>
      <c r="B85" s="14" t="s">
        <v>875</v>
      </c>
      <c r="C85" s="14" t="s">
        <v>876</v>
      </c>
      <c r="D85" s="14"/>
      <c r="E85" s="14" t="s">
        <v>9</v>
      </c>
      <c r="F85" s="14" t="s">
        <v>135</v>
      </c>
      <c r="G85" s="15" t="s">
        <v>136</v>
      </c>
      <c r="H85" s="14" t="s">
        <v>137</v>
      </c>
      <c r="I85" s="14" t="s">
        <v>210</v>
      </c>
      <c r="J85" s="14" t="s">
        <v>199</v>
      </c>
      <c r="K85" s="14" t="s">
        <v>73</v>
      </c>
      <c r="L85" s="15" t="s">
        <v>74</v>
      </c>
      <c r="M85" s="14" t="s">
        <v>877</v>
      </c>
      <c r="N85" s="16" t="s">
        <v>878</v>
      </c>
      <c r="O85" s="15" t="n">
        <v>6</v>
      </c>
      <c r="P85" s="15"/>
      <c r="Q85" s="15" t="n">
        <f aca="false">IFERROR(VLOOKUP(J85,Parametros!$A$5:$B$9,2,FALSE()),0)</f>
        <v>1</v>
      </c>
      <c r="R85" s="15" t="n">
        <f aca="false">IFERROR(VLOOKUP(H85,Parametros!$D$5:$E$23,2,FALSE()),1)</f>
        <v>3</v>
      </c>
      <c r="S85" s="15" t="n">
        <f aca="false">IF(OR(N(O85)&gt;=Parametros!$H$9,AND(N(P85)&gt;0,N(P85)&lt;=Parametros!$H$10)),1,0)</f>
        <v>0</v>
      </c>
      <c r="T85" s="15" t="n">
        <f aca="false">Q85+R85+S85</f>
        <v>4</v>
      </c>
      <c r="U85" s="15" t="str">
        <f aca="false">IF(OR(V85="Inactive",V85="No encontrada",V85="Duplicado"),"Descartada",IF(AND(T85&gt;=Parametros!$H$5,S85=1),"A",IF(T85&gt;=Parametros!$H$6,"B","C")))</f>
        <v>B</v>
      </c>
      <c r="V85" s="17" t="s">
        <v>94</v>
      </c>
      <c r="W85" s="17"/>
      <c r="X85" s="14" t="s">
        <v>879</v>
      </c>
      <c r="Y85" s="14" t="s">
        <v>880</v>
      </c>
      <c r="Z85" s="14" t="s">
        <v>881</v>
      </c>
      <c r="AA85" s="14"/>
      <c r="AB85" s="14"/>
      <c r="AC85" s="14"/>
      <c r="AD85" s="14"/>
      <c r="AE85" s="16" t="s">
        <v>878</v>
      </c>
      <c r="AF85" s="14"/>
      <c r="AG85" s="14" t="s">
        <v>882</v>
      </c>
      <c r="AH85" s="14" t="s">
        <v>144</v>
      </c>
    </row>
    <row r="86" customFormat="false" ht="15" hidden="false" customHeight="false" outlineLevel="0" collapsed="false">
      <c r="A86" s="14" t="s">
        <v>883</v>
      </c>
      <c r="B86" s="14" t="s">
        <v>884</v>
      </c>
      <c r="C86" s="14" t="s">
        <v>876</v>
      </c>
      <c r="D86" s="14"/>
      <c r="E86" s="14" t="s">
        <v>9</v>
      </c>
      <c r="F86" s="14" t="s">
        <v>135</v>
      </c>
      <c r="G86" s="15" t="s">
        <v>136</v>
      </c>
      <c r="H86" s="14" t="s">
        <v>137</v>
      </c>
      <c r="I86" s="14" t="s">
        <v>89</v>
      </c>
      <c r="J86" s="14" t="s">
        <v>199</v>
      </c>
      <c r="K86" s="14" t="s">
        <v>312</v>
      </c>
      <c r="L86" s="15" t="s">
        <v>91</v>
      </c>
      <c r="M86" s="14" t="s">
        <v>809</v>
      </c>
      <c r="N86" s="16" t="s">
        <v>885</v>
      </c>
      <c r="O86" s="15"/>
      <c r="P86" s="15"/>
      <c r="Q86" s="15" t="n">
        <f aca="false">IFERROR(VLOOKUP(J86,Parametros!$A$5:$B$9,2,FALSE()),0)</f>
        <v>1</v>
      </c>
      <c r="R86" s="15" t="n">
        <f aca="false">IFERROR(VLOOKUP(H86,Parametros!$D$5:$E$23,2,FALSE()),1)</f>
        <v>3</v>
      </c>
      <c r="S86" s="15" t="n">
        <f aca="false">IF(OR(N(O86)&gt;=Parametros!$H$9,AND(N(P86)&gt;0,N(P86)&lt;=Parametros!$H$10)),1,0)</f>
        <v>0</v>
      </c>
      <c r="T86" s="15" t="n">
        <f aca="false">Q86+R86+S86</f>
        <v>4</v>
      </c>
      <c r="U86" s="15" t="str">
        <f aca="false">IF(OR(V86="Inactive",V86="No encontrada",V86="Duplicado"),"Descartada",IF(AND(T86&gt;=Parametros!$H$5,S86=1),"A",IF(T86&gt;=Parametros!$H$6,"B","C")))</f>
        <v>B</v>
      </c>
      <c r="V86" s="17" t="s">
        <v>94</v>
      </c>
      <c r="W86" s="17"/>
      <c r="X86" s="14" t="s">
        <v>886</v>
      </c>
      <c r="Y86" s="14" t="s">
        <v>887</v>
      </c>
      <c r="Z86" s="14" t="s">
        <v>888</v>
      </c>
      <c r="AA86" s="16" t="s">
        <v>889</v>
      </c>
      <c r="AB86" s="14"/>
      <c r="AC86" s="16" t="s">
        <v>890</v>
      </c>
      <c r="AD86" s="16" t="s">
        <v>891</v>
      </c>
      <c r="AE86" s="16" t="s">
        <v>892</v>
      </c>
      <c r="AF86" s="14"/>
      <c r="AG86" s="14"/>
      <c r="AH86" s="14" t="s">
        <v>144</v>
      </c>
    </row>
    <row r="87" customFormat="false" ht="23.85" hidden="false" customHeight="false" outlineLevel="0" collapsed="false">
      <c r="A87" s="14" t="s">
        <v>893</v>
      </c>
      <c r="B87" s="14" t="s">
        <v>894</v>
      </c>
      <c r="C87" s="14" t="s">
        <v>876</v>
      </c>
      <c r="D87" s="14"/>
      <c r="E87" s="14" t="s">
        <v>9</v>
      </c>
      <c r="F87" s="14" t="s">
        <v>421</v>
      </c>
      <c r="G87" s="15" t="s">
        <v>136</v>
      </c>
      <c r="H87" s="14" t="s">
        <v>137</v>
      </c>
      <c r="I87" s="14" t="s">
        <v>72</v>
      </c>
      <c r="J87" s="14" t="s">
        <v>210</v>
      </c>
      <c r="K87" s="14" t="s">
        <v>73</v>
      </c>
      <c r="L87" s="15" t="s">
        <v>74</v>
      </c>
      <c r="M87" s="14" t="s">
        <v>809</v>
      </c>
      <c r="N87" s="16" t="s">
        <v>895</v>
      </c>
      <c r="O87" s="15"/>
      <c r="P87" s="15"/>
      <c r="Q87" s="15" t="n">
        <f aca="false">IFERROR(VLOOKUP(J87,Parametros!$A$5:$B$9,2,FALSE()),0)</f>
        <v>1</v>
      </c>
      <c r="R87" s="15" t="n">
        <f aca="false">IFERROR(VLOOKUP(H87,Parametros!$D$5:$E$23,2,FALSE()),1)</f>
        <v>3</v>
      </c>
      <c r="S87" s="15" t="n">
        <f aca="false">IF(OR(N(O87)&gt;=Parametros!$H$9,AND(N(P87)&gt;0,N(P87)&lt;=Parametros!$H$10)),1,0)</f>
        <v>0</v>
      </c>
      <c r="T87" s="15" t="n">
        <f aca="false">Q87+R87+S87</f>
        <v>4</v>
      </c>
      <c r="U87" s="15" t="str">
        <f aca="false">IF(OR(V87="Inactive",V87="No encontrada",V87="Duplicado"),"Descartada",IF(AND(T87&gt;=Parametros!$H$5,S87=1),"A",IF(T87&gt;=Parametros!$H$6,"B","C")))</f>
        <v>Descartada</v>
      </c>
      <c r="V87" s="17" t="s">
        <v>77</v>
      </c>
      <c r="W87" s="17"/>
      <c r="X87" s="14"/>
      <c r="Y87" s="14"/>
      <c r="Z87" s="14"/>
      <c r="AA87" s="14"/>
      <c r="AB87" s="14"/>
      <c r="AC87" s="14"/>
      <c r="AD87" s="14"/>
      <c r="AE87" s="16" t="s">
        <v>896</v>
      </c>
      <c r="AF87" s="14" t="s">
        <v>897</v>
      </c>
      <c r="AG87" s="14" t="s">
        <v>898</v>
      </c>
      <c r="AH87" s="14" t="s">
        <v>144</v>
      </c>
    </row>
    <row r="88" customFormat="false" ht="15" hidden="false" customHeight="false" outlineLevel="0" collapsed="false">
      <c r="A88" s="14" t="s">
        <v>899</v>
      </c>
      <c r="B88" s="14" t="s">
        <v>900</v>
      </c>
      <c r="C88" s="14" t="s">
        <v>876</v>
      </c>
      <c r="D88" s="14"/>
      <c r="E88" s="14" t="s">
        <v>9</v>
      </c>
      <c r="F88" s="14" t="s">
        <v>901</v>
      </c>
      <c r="G88" s="15" t="s">
        <v>136</v>
      </c>
      <c r="H88" s="14" t="s">
        <v>137</v>
      </c>
      <c r="I88" s="14" t="s">
        <v>72</v>
      </c>
      <c r="J88" s="14" t="s">
        <v>210</v>
      </c>
      <c r="K88" s="14" t="s">
        <v>73</v>
      </c>
      <c r="L88" s="15" t="s">
        <v>74</v>
      </c>
      <c r="M88" s="14" t="s">
        <v>809</v>
      </c>
      <c r="N88" s="16" t="s">
        <v>902</v>
      </c>
      <c r="O88" s="15"/>
      <c r="P88" s="15"/>
      <c r="Q88" s="15" t="n">
        <f aca="false">IFERROR(VLOOKUP(J88,Parametros!$A$5:$B$9,2,FALSE()),0)</f>
        <v>1</v>
      </c>
      <c r="R88" s="15" t="n">
        <f aca="false">IFERROR(VLOOKUP(H88,Parametros!$D$5:$E$23,2,FALSE()),1)</f>
        <v>3</v>
      </c>
      <c r="S88" s="15" t="n">
        <f aca="false">IF(OR(N(O88)&gt;=Parametros!$H$9,AND(N(P88)&gt;0,N(P88)&lt;=Parametros!$H$10)),1,0)</f>
        <v>0</v>
      </c>
      <c r="T88" s="15" t="n">
        <f aca="false">Q88+R88+S88</f>
        <v>4</v>
      </c>
      <c r="U88" s="15" t="str">
        <f aca="false">IF(OR(V88="Inactive",V88="No encontrada",V88="Duplicado"),"Descartada",IF(AND(T88&gt;=Parametros!$H$5,S88=1),"A",IF(T88&gt;=Parametros!$H$6,"B","C")))</f>
        <v>B</v>
      </c>
      <c r="V88" s="17" t="s">
        <v>94</v>
      </c>
      <c r="W88" s="17"/>
      <c r="X88" s="14"/>
      <c r="Y88" s="14"/>
      <c r="Z88" s="14"/>
      <c r="AA88" s="14"/>
      <c r="AB88" s="14"/>
      <c r="AC88" s="14"/>
      <c r="AD88" s="14"/>
      <c r="AE88" s="14"/>
      <c r="AF88" s="14" t="s">
        <v>267</v>
      </c>
      <c r="AG88" s="14" t="s">
        <v>903</v>
      </c>
      <c r="AH88" s="14" t="s">
        <v>144</v>
      </c>
    </row>
    <row r="89" customFormat="false" ht="15" hidden="false" customHeight="false" outlineLevel="0" collapsed="false">
      <c r="A89" s="14" t="s">
        <v>904</v>
      </c>
      <c r="B89" s="14" t="s">
        <v>905</v>
      </c>
      <c r="C89" s="14" t="s">
        <v>906</v>
      </c>
      <c r="D89" s="14"/>
      <c r="E89" s="14" t="s">
        <v>9</v>
      </c>
      <c r="F89" s="14" t="s">
        <v>907</v>
      </c>
      <c r="G89" s="15" t="s">
        <v>908</v>
      </c>
      <c r="H89" s="14" t="s">
        <v>909</v>
      </c>
      <c r="I89" s="14" t="s">
        <v>72</v>
      </c>
      <c r="J89" s="14" t="s">
        <v>8</v>
      </c>
      <c r="K89" s="14" t="s">
        <v>398</v>
      </c>
      <c r="L89" s="15" t="s">
        <v>91</v>
      </c>
      <c r="M89" s="14" t="s">
        <v>910</v>
      </c>
      <c r="N89" s="16" t="s">
        <v>911</v>
      </c>
      <c r="O89" s="15" t="n">
        <v>11</v>
      </c>
      <c r="P89" s="15"/>
      <c r="Q89" s="15" t="n">
        <f aca="false">IFERROR(VLOOKUP(J89,Parametros!$A$5:$B$9,2,FALSE()),0)</f>
        <v>3</v>
      </c>
      <c r="R89" s="15" t="n">
        <f aca="false">IFERROR(VLOOKUP(H89,Parametros!$D$5:$E$23,2,FALSE()),1)</f>
        <v>2</v>
      </c>
      <c r="S89" s="15" t="n">
        <f aca="false">IF(OR(N(O89)&gt;=Parametros!$H$9,AND(N(P89)&gt;0,N(P89)&lt;=Parametros!$H$10)),1,0)</f>
        <v>1</v>
      </c>
      <c r="T89" s="15" t="n">
        <f aca="false">Q89+R89+S89</f>
        <v>6</v>
      </c>
      <c r="U89" s="15" t="str">
        <f aca="false">IF(OR(V89="Inactive",V89="No encontrada",V89="Duplicado"),"Descartada",IF(AND(T89&gt;=Parametros!$H$5,S89=1),"A",IF(T89&gt;=Parametros!$H$6,"B","C")))</f>
        <v>A</v>
      </c>
      <c r="V89" s="17" t="s">
        <v>94</v>
      </c>
      <c r="W89" s="17"/>
      <c r="X89" s="14" t="s">
        <v>912</v>
      </c>
      <c r="Y89" s="14" t="s">
        <v>913</v>
      </c>
      <c r="Z89" s="14"/>
      <c r="AA89" s="14"/>
      <c r="AB89" s="14"/>
      <c r="AC89" s="16" t="s">
        <v>914</v>
      </c>
      <c r="AD89" s="16" t="s">
        <v>915</v>
      </c>
      <c r="AE89" s="16" t="s">
        <v>916</v>
      </c>
      <c r="AF89" s="14"/>
      <c r="AG89" s="14" t="s">
        <v>100</v>
      </c>
      <c r="AH89" s="14" t="s">
        <v>917</v>
      </c>
    </row>
    <row r="90" customFormat="false" ht="15" hidden="false" customHeight="false" outlineLevel="0" collapsed="false">
      <c r="A90" s="14" t="s">
        <v>918</v>
      </c>
      <c r="B90" s="14" t="s">
        <v>919</v>
      </c>
      <c r="C90" s="14" t="s">
        <v>906</v>
      </c>
      <c r="D90" s="14"/>
      <c r="E90" s="14" t="s">
        <v>9</v>
      </c>
      <c r="F90" s="14" t="s">
        <v>907</v>
      </c>
      <c r="G90" s="15" t="s">
        <v>908</v>
      </c>
      <c r="H90" s="14" t="s">
        <v>909</v>
      </c>
      <c r="I90" s="14" t="s">
        <v>115</v>
      </c>
      <c r="J90" s="14" t="s">
        <v>8</v>
      </c>
      <c r="K90" s="14" t="s">
        <v>61</v>
      </c>
      <c r="L90" s="15" t="s">
        <v>91</v>
      </c>
      <c r="M90" s="14" t="s">
        <v>920</v>
      </c>
      <c r="N90" s="16" t="s">
        <v>921</v>
      </c>
      <c r="O90" s="15" t="n">
        <v>5</v>
      </c>
      <c r="P90" s="15"/>
      <c r="Q90" s="15" t="n">
        <f aca="false">IFERROR(VLOOKUP(J90,Parametros!$A$5:$B$9,2,FALSE()),0)</f>
        <v>3</v>
      </c>
      <c r="R90" s="15" t="n">
        <f aca="false">IFERROR(VLOOKUP(H90,Parametros!$D$5:$E$23,2,FALSE()),1)</f>
        <v>2</v>
      </c>
      <c r="S90" s="15" t="n">
        <f aca="false">IF(OR(N(O90)&gt;=Parametros!$H$9,AND(N(P90)&gt;0,N(P90)&lt;=Parametros!$H$10)),1,0)</f>
        <v>0</v>
      </c>
      <c r="T90" s="15" t="n">
        <f aca="false">Q90+R90+S90</f>
        <v>5</v>
      </c>
      <c r="U90" s="15" t="str">
        <f aca="false">IF(OR(V90="Inactive",V90="No encontrada",V90="Duplicado"),"Descartada",IF(AND(T90&gt;=Parametros!$H$5,S90=1),"A",IF(T90&gt;=Parametros!$H$6,"B","C")))</f>
        <v>B</v>
      </c>
      <c r="V90" s="17" t="s">
        <v>94</v>
      </c>
      <c r="W90" s="17"/>
      <c r="X90" s="14"/>
      <c r="Y90" s="14" t="s">
        <v>922</v>
      </c>
      <c r="Z90" s="14"/>
      <c r="AA90" s="14"/>
      <c r="AB90" s="14"/>
      <c r="AC90" s="14"/>
      <c r="AD90" s="16" t="s">
        <v>923</v>
      </c>
      <c r="AE90" s="16" t="s">
        <v>924</v>
      </c>
      <c r="AF90" s="14"/>
      <c r="AG90" s="14" t="s">
        <v>925</v>
      </c>
      <c r="AH90" s="14" t="s">
        <v>917</v>
      </c>
    </row>
    <row r="91" customFormat="false" ht="23.85" hidden="false" customHeight="false" outlineLevel="0" collapsed="false">
      <c r="A91" s="14" t="s">
        <v>926</v>
      </c>
      <c r="B91" s="14" t="s">
        <v>927</v>
      </c>
      <c r="C91" s="14" t="s">
        <v>906</v>
      </c>
      <c r="D91" s="14"/>
      <c r="E91" s="14" t="s">
        <v>9</v>
      </c>
      <c r="F91" s="14" t="s">
        <v>907</v>
      </c>
      <c r="G91" s="15" t="s">
        <v>908</v>
      </c>
      <c r="H91" s="14" t="s">
        <v>909</v>
      </c>
      <c r="I91" s="14" t="s">
        <v>72</v>
      </c>
      <c r="J91" s="14" t="s">
        <v>199</v>
      </c>
      <c r="K91" s="14" t="s">
        <v>58</v>
      </c>
      <c r="L91" s="15" t="s">
        <v>91</v>
      </c>
      <c r="M91" s="14" t="s">
        <v>928</v>
      </c>
      <c r="N91" s="16" t="s">
        <v>929</v>
      </c>
      <c r="O91" s="15" t="n">
        <v>7</v>
      </c>
      <c r="P91" s="15"/>
      <c r="Q91" s="15" t="n">
        <f aca="false">IFERROR(VLOOKUP(J91,Parametros!$A$5:$B$9,2,FALSE()),0)</f>
        <v>1</v>
      </c>
      <c r="R91" s="15" t="n">
        <f aca="false">IFERROR(VLOOKUP(H91,Parametros!$D$5:$E$23,2,FALSE()),1)</f>
        <v>2</v>
      </c>
      <c r="S91" s="15" t="n">
        <f aca="false">IF(OR(N(O91)&gt;=Parametros!$H$9,AND(N(P91)&gt;0,N(P91)&lt;=Parametros!$H$10)),1,0)</f>
        <v>0</v>
      </c>
      <c r="T91" s="15" t="n">
        <f aca="false">Q91+R91+S91</f>
        <v>3</v>
      </c>
      <c r="U91" s="15" t="str">
        <f aca="false">IF(OR(V91="Inactive",V91="No encontrada",V91="Duplicado"),"Descartada",IF(AND(T91&gt;=Parametros!$H$5,S91=1),"A",IF(T91&gt;=Parametros!$H$6,"B","C")))</f>
        <v>C</v>
      </c>
      <c r="V91" s="17" t="s">
        <v>94</v>
      </c>
      <c r="W91" s="17"/>
      <c r="X91" s="14" t="s">
        <v>930</v>
      </c>
      <c r="Y91" s="14" t="s">
        <v>931</v>
      </c>
      <c r="Z91" s="14" t="s">
        <v>932</v>
      </c>
      <c r="AA91" s="16" t="s">
        <v>933</v>
      </c>
      <c r="AB91" s="14"/>
      <c r="AC91" s="14"/>
      <c r="AD91" s="14"/>
      <c r="AE91" s="16" t="s">
        <v>934</v>
      </c>
      <c r="AF91" s="14"/>
      <c r="AG91" s="14" t="s">
        <v>935</v>
      </c>
      <c r="AH91" s="14" t="s">
        <v>917</v>
      </c>
    </row>
    <row r="92" customFormat="false" ht="15" hidden="false" customHeight="false" outlineLevel="0" collapsed="false">
      <c r="A92" s="14" t="s">
        <v>936</v>
      </c>
      <c r="B92" s="14" t="s">
        <v>937</v>
      </c>
      <c r="C92" s="14" t="s">
        <v>906</v>
      </c>
      <c r="D92" s="14"/>
      <c r="E92" s="14" t="s">
        <v>9</v>
      </c>
      <c r="F92" s="14" t="s">
        <v>907</v>
      </c>
      <c r="G92" s="15" t="s">
        <v>908</v>
      </c>
      <c r="H92" s="14" t="s">
        <v>909</v>
      </c>
      <c r="I92" s="14" t="s">
        <v>89</v>
      </c>
      <c r="J92" s="14" t="s">
        <v>199</v>
      </c>
      <c r="K92" s="14" t="s">
        <v>73</v>
      </c>
      <c r="L92" s="15" t="s">
        <v>74</v>
      </c>
      <c r="M92" s="14" t="s">
        <v>938</v>
      </c>
      <c r="N92" s="16" t="s">
        <v>939</v>
      </c>
      <c r="O92" s="15" t="n">
        <v>2</v>
      </c>
      <c r="P92" s="15"/>
      <c r="Q92" s="15" t="n">
        <f aca="false">IFERROR(VLOOKUP(J92,Parametros!$A$5:$B$9,2,FALSE()),0)</f>
        <v>1</v>
      </c>
      <c r="R92" s="15" t="n">
        <f aca="false">IFERROR(VLOOKUP(H92,Parametros!$D$5:$E$23,2,FALSE()),1)</f>
        <v>2</v>
      </c>
      <c r="S92" s="15" t="n">
        <f aca="false">IF(OR(N(O92)&gt;=Parametros!$H$9,AND(N(P92)&gt;0,N(P92)&lt;=Parametros!$H$10)),1,0)</f>
        <v>0</v>
      </c>
      <c r="T92" s="15" t="n">
        <f aca="false">Q92+R92+S92</f>
        <v>3</v>
      </c>
      <c r="U92" s="15" t="str">
        <f aca="false">IF(OR(V92="Inactive",V92="No encontrada",V92="Duplicado"),"Descartada",IF(AND(T92&gt;=Parametros!$H$5,S92=1),"A",IF(T92&gt;=Parametros!$H$6,"B","C")))</f>
        <v>C</v>
      </c>
      <c r="V92" s="17" t="s">
        <v>94</v>
      </c>
      <c r="W92" s="17"/>
      <c r="X92" s="14" t="s">
        <v>940</v>
      </c>
      <c r="Y92" s="14" t="s">
        <v>941</v>
      </c>
      <c r="Z92" s="14" t="s">
        <v>942</v>
      </c>
      <c r="AA92" s="14"/>
      <c r="AB92" s="14"/>
      <c r="AC92" s="14"/>
      <c r="AD92" s="14"/>
      <c r="AE92" s="16" t="s">
        <v>943</v>
      </c>
      <c r="AF92" s="14"/>
      <c r="AG92" s="14" t="s">
        <v>944</v>
      </c>
      <c r="AH92" s="14" t="s">
        <v>917</v>
      </c>
    </row>
    <row r="93" customFormat="false" ht="23.85" hidden="false" customHeight="false" outlineLevel="0" collapsed="false">
      <c r="A93" s="14" t="s">
        <v>945</v>
      </c>
      <c r="B93" s="14" t="s">
        <v>946</v>
      </c>
      <c r="C93" s="14" t="s">
        <v>906</v>
      </c>
      <c r="D93" s="14"/>
      <c r="E93" s="14" t="s">
        <v>9</v>
      </c>
      <c r="F93" s="14" t="s">
        <v>907</v>
      </c>
      <c r="G93" s="15" t="s">
        <v>908</v>
      </c>
      <c r="H93" s="14" t="s">
        <v>909</v>
      </c>
      <c r="I93" s="14" t="s">
        <v>89</v>
      </c>
      <c r="J93" s="14" t="s">
        <v>199</v>
      </c>
      <c r="K93" s="14" t="s">
        <v>73</v>
      </c>
      <c r="L93" s="15" t="s">
        <v>74</v>
      </c>
      <c r="M93" s="14" t="s">
        <v>809</v>
      </c>
      <c r="N93" s="16" t="s">
        <v>947</v>
      </c>
      <c r="O93" s="15"/>
      <c r="P93" s="15"/>
      <c r="Q93" s="15" t="n">
        <f aca="false">IFERROR(VLOOKUP(J93,Parametros!$A$5:$B$9,2,FALSE()),0)</f>
        <v>1</v>
      </c>
      <c r="R93" s="15" t="n">
        <f aca="false">IFERROR(VLOOKUP(H93,Parametros!$D$5:$E$23,2,FALSE()),1)</f>
        <v>2</v>
      </c>
      <c r="S93" s="15" t="n">
        <f aca="false">IF(OR(N(O93)&gt;=Parametros!$H$9,AND(N(P93)&gt;0,N(P93)&lt;=Parametros!$H$10)),1,0)</f>
        <v>0</v>
      </c>
      <c r="T93" s="15" t="n">
        <f aca="false">Q93+R93+S93</f>
        <v>3</v>
      </c>
      <c r="U93" s="15" t="str">
        <f aca="false">IF(OR(V93="Inactive",V93="No encontrada",V93="Duplicado"),"Descartada",IF(AND(T93&gt;=Parametros!$H$5,S93=1),"A",IF(T93&gt;=Parametros!$H$6,"B","C")))</f>
        <v>C</v>
      </c>
      <c r="V93" s="17" t="s">
        <v>94</v>
      </c>
      <c r="W93" s="17"/>
      <c r="X93" s="14" t="s">
        <v>948</v>
      </c>
      <c r="Y93" s="14" t="s">
        <v>949</v>
      </c>
      <c r="Z93" s="14" t="s">
        <v>950</v>
      </c>
      <c r="AA93" s="14"/>
      <c r="AB93" s="14"/>
      <c r="AC93" s="14"/>
      <c r="AD93" s="14"/>
      <c r="AE93" s="16" t="s">
        <v>951</v>
      </c>
      <c r="AF93" s="14"/>
      <c r="AG93" s="14" t="s">
        <v>952</v>
      </c>
      <c r="AH93" s="14" t="s">
        <v>917</v>
      </c>
    </row>
    <row r="94" customFormat="false" ht="15" hidden="false" customHeight="false" outlineLevel="0" collapsed="false">
      <c r="A94" s="14" t="s">
        <v>953</v>
      </c>
      <c r="B94" s="14" t="s">
        <v>954</v>
      </c>
      <c r="C94" s="14" t="s">
        <v>955</v>
      </c>
      <c r="D94" s="14"/>
      <c r="E94" s="14" t="s">
        <v>6</v>
      </c>
      <c r="F94" s="14" t="s">
        <v>280</v>
      </c>
      <c r="G94" s="15" t="s">
        <v>125</v>
      </c>
      <c r="H94" s="14" t="s">
        <v>126</v>
      </c>
      <c r="I94" s="14" t="s">
        <v>72</v>
      </c>
      <c r="J94" s="14" t="s">
        <v>199</v>
      </c>
      <c r="K94" s="14" t="s">
        <v>90</v>
      </c>
      <c r="L94" s="15" t="s">
        <v>91</v>
      </c>
      <c r="M94" s="14" t="s">
        <v>956</v>
      </c>
      <c r="N94" s="16" t="s">
        <v>957</v>
      </c>
      <c r="O94" s="15" t="n">
        <v>7</v>
      </c>
      <c r="P94" s="15"/>
      <c r="Q94" s="15" t="n">
        <f aca="false">IFERROR(VLOOKUP(J94,Parametros!$A$5:$B$9,2,FALSE()),0)</f>
        <v>1</v>
      </c>
      <c r="R94" s="15" t="n">
        <f aca="false">IFERROR(VLOOKUP(H94,Parametros!$D$5:$E$23,2,FALSE()),1)</f>
        <v>3</v>
      </c>
      <c r="S94" s="15" t="n">
        <f aca="false">IF(OR(N(O94)&gt;=Parametros!$H$9,AND(N(P94)&gt;0,N(P94)&lt;=Parametros!$H$10)),1,0)</f>
        <v>0</v>
      </c>
      <c r="T94" s="15" t="n">
        <f aca="false">Q94+R94+S94</f>
        <v>4</v>
      </c>
      <c r="U94" s="15" t="str">
        <f aca="false">IF(OR(V94="Inactive",V94="No encontrada",V94="Duplicado"),"Descartada",IF(AND(T94&gt;=Parametros!$H$5,S94=1),"A",IF(T94&gt;=Parametros!$H$6,"B","C")))</f>
        <v>B</v>
      </c>
      <c r="V94" s="17" t="s">
        <v>94</v>
      </c>
      <c r="W94" s="17"/>
      <c r="X94" s="14" t="s">
        <v>958</v>
      </c>
      <c r="Y94" s="14" t="s">
        <v>959</v>
      </c>
      <c r="Z94" s="14" t="s">
        <v>960</v>
      </c>
      <c r="AA94" s="16" t="s">
        <v>961</v>
      </c>
      <c r="AB94" s="14"/>
      <c r="AC94" s="14"/>
      <c r="AD94" s="16" t="s">
        <v>962</v>
      </c>
      <c r="AE94" s="16" t="s">
        <v>962</v>
      </c>
      <c r="AF94" s="14"/>
      <c r="AG94" s="14"/>
      <c r="AH94" s="14" t="s">
        <v>120</v>
      </c>
    </row>
    <row r="95" customFormat="false" ht="23.85" hidden="false" customHeight="false" outlineLevel="0" collapsed="false">
      <c r="A95" s="14" t="s">
        <v>963</v>
      </c>
      <c r="B95" s="14" t="s">
        <v>964</v>
      </c>
      <c r="C95" s="14" t="s">
        <v>955</v>
      </c>
      <c r="D95" s="14"/>
      <c r="E95" s="14" t="s">
        <v>6</v>
      </c>
      <c r="F95" s="14" t="s">
        <v>280</v>
      </c>
      <c r="G95" s="15" t="s">
        <v>125</v>
      </c>
      <c r="H95" s="14" t="s">
        <v>126</v>
      </c>
      <c r="I95" s="14" t="s">
        <v>72</v>
      </c>
      <c r="J95" s="14" t="s">
        <v>8</v>
      </c>
      <c r="K95" s="14" t="s">
        <v>73</v>
      </c>
      <c r="L95" s="15" t="s">
        <v>74</v>
      </c>
      <c r="M95" s="14" t="s">
        <v>965</v>
      </c>
      <c r="N95" s="16" t="s">
        <v>966</v>
      </c>
      <c r="O95" s="15"/>
      <c r="P95" s="15"/>
      <c r="Q95" s="15" t="n">
        <f aca="false">IFERROR(VLOOKUP(J95,Parametros!$A$5:$B$9,2,FALSE()),0)</f>
        <v>3</v>
      </c>
      <c r="R95" s="15" t="n">
        <f aca="false">IFERROR(VLOOKUP(H95,Parametros!$D$5:$E$23,2,FALSE()),1)</f>
        <v>3</v>
      </c>
      <c r="S95" s="15" t="n">
        <f aca="false">IF(OR(N(O95)&gt;=Parametros!$H$9,AND(N(P95)&gt;0,N(P95)&lt;=Parametros!$H$10)),1,0)</f>
        <v>0</v>
      </c>
      <c r="T95" s="15" t="n">
        <f aca="false">Q95+R95+S95</f>
        <v>6</v>
      </c>
      <c r="U95" s="15" t="str">
        <f aca="false">IF(OR(V95="Inactive",V95="No encontrada",V95="Duplicado"),"Descartada",IF(AND(T95&gt;=Parametros!$H$5,S95=1),"A",IF(T95&gt;=Parametros!$H$6,"B","C")))</f>
        <v>B</v>
      </c>
      <c r="V95" s="17" t="s">
        <v>94</v>
      </c>
      <c r="W95" s="17"/>
      <c r="X95" s="14"/>
      <c r="Y95" s="14" t="s">
        <v>967</v>
      </c>
      <c r="Z95" s="14"/>
      <c r="AA95" s="14"/>
      <c r="AB95" s="14"/>
      <c r="AC95" s="14"/>
      <c r="AD95" s="14"/>
      <c r="AE95" s="16" t="s">
        <v>966</v>
      </c>
      <c r="AF95" s="14"/>
      <c r="AG95" s="14" t="s">
        <v>968</v>
      </c>
      <c r="AH95" s="14" t="s">
        <v>120</v>
      </c>
    </row>
    <row r="96" customFormat="false" ht="15" hidden="false" customHeight="false" outlineLevel="0" collapsed="false">
      <c r="A96" s="14" t="s">
        <v>969</v>
      </c>
      <c r="B96" s="14" t="s">
        <v>970</v>
      </c>
      <c r="C96" s="14" t="s">
        <v>955</v>
      </c>
      <c r="D96" s="14"/>
      <c r="E96" s="14" t="s">
        <v>6</v>
      </c>
      <c r="F96" s="14" t="s">
        <v>280</v>
      </c>
      <c r="G96" s="15" t="s">
        <v>125</v>
      </c>
      <c r="H96" s="14" t="s">
        <v>126</v>
      </c>
      <c r="I96" s="14" t="s">
        <v>72</v>
      </c>
      <c r="J96" s="14" t="s">
        <v>199</v>
      </c>
      <c r="K96" s="14" t="s">
        <v>61</v>
      </c>
      <c r="L96" s="15" t="s">
        <v>91</v>
      </c>
      <c r="M96" s="14" t="s">
        <v>971</v>
      </c>
      <c r="N96" s="16" t="s">
        <v>972</v>
      </c>
      <c r="O96" s="15"/>
      <c r="P96" s="15"/>
      <c r="Q96" s="15" t="n">
        <f aca="false">IFERROR(VLOOKUP(J96,Parametros!$A$5:$B$9,2,FALSE()),0)</f>
        <v>1</v>
      </c>
      <c r="R96" s="15" t="n">
        <f aca="false">IFERROR(VLOOKUP(H96,Parametros!$D$5:$E$23,2,FALSE()),1)</f>
        <v>3</v>
      </c>
      <c r="S96" s="15" t="n">
        <f aca="false">IF(OR(N(O96)&gt;=Parametros!$H$9,AND(N(P96)&gt;0,N(P96)&lt;=Parametros!$H$10)),1,0)</f>
        <v>0</v>
      </c>
      <c r="T96" s="15" t="n">
        <f aca="false">Q96+R96+S96</f>
        <v>4</v>
      </c>
      <c r="U96" s="15" t="str">
        <f aca="false">IF(OR(V96="Inactive",V96="No encontrada",V96="Duplicado"),"Descartada",IF(AND(T96&gt;=Parametros!$H$5,S96=1),"A",IF(T96&gt;=Parametros!$H$6,"B","C")))</f>
        <v>B</v>
      </c>
      <c r="V96" s="17" t="s">
        <v>94</v>
      </c>
      <c r="W96" s="17"/>
      <c r="X96" s="14" t="s">
        <v>973</v>
      </c>
      <c r="Y96" s="14" t="s">
        <v>974</v>
      </c>
      <c r="Z96" s="14" t="s">
        <v>975</v>
      </c>
      <c r="AA96" s="14"/>
      <c r="AB96" s="14"/>
      <c r="AC96" s="14"/>
      <c r="AD96" s="16" t="s">
        <v>976</v>
      </c>
      <c r="AE96" s="16" t="s">
        <v>977</v>
      </c>
      <c r="AF96" s="14"/>
      <c r="AG96" s="14"/>
      <c r="AH96" s="14" t="s">
        <v>120</v>
      </c>
    </row>
    <row r="97" customFormat="false" ht="15" hidden="false" customHeight="false" outlineLevel="0" collapsed="false">
      <c r="A97" s="14" t="s">
        <v>978</v>
      </c>
      <c r="B97" s="14" t="s">
        <v>979</v>
      </c>
      <c r="C97" s="14" t="s">
        <v>955</v>
      </c>
      <c r="D97" s="14"/>
      <c r="E97" s="14" t="s">
        <v>6</v>
      </c>
      <c r="F97" s="14" t="s">
        <v>280</v>
      </c>
      <c r="G97" s="15" t="s">
        <v>125</v>
      </c>
      <c r="H97" s="14" t="s">
        <v>126</v>
      </c>
      <c r="I97" s="14" t="s">
        <v>210</v>
      </c>
      <c r="J97" s="14" t="s">
        <v>210</v>
      </c>
      <c r="K97" s="14" t="s">
        <v>73</v>
      </c>
      <c r="L97" s="15" t="s">
        <v>74</v>
      </c>
      <c r="M97" s="14" t="s">
        <v>809</v>
      </c>
      <c r="N97" s="16" t="s">
        <v>980</v>
      </c>
      <c r="O97" s="15"/>
      <c r="P97" s="15"/>
      <c r="Q97" s="15" t="n">
        <f aca="false">IFERROR(VLOOKUP(J97,Parametros!$A$5:$B$9,2,FALSE()),0)</f>
        <v>1</v>
      </c>
      <c r="R97" s="15" t="n">
        <f aca="false">IFERROR(VLOOKUP(H97,Parametros!$D$5:$E$23,2,FALSE()),1)</f>
        <v>3</v>
      </c>
      <c r="S97" s="15" t="n">
        <f aca="false">IF(OR(N(O97)&gt;=Parametros!$H$9,AND(N(P97)&gt;0,N(P97)&lt;=Parametros!$H$10)),1,0)</f>
        <v>0</v>
      </c>
      <c r="T97" s="15" t="n">
        <f aca="false">Q97+R97+S97</f>
        <v>4</v>
      </c>
      <c r="U97" s="15" t="str">
        <f aca="false">IF(OR(V97="Inactive",V97="No encontrada",V97="Duplicado"),"Descartada",IF(AND(T97&gt;=Parametros!$H$5,S97=1),"A",IF(T97&gt;=Parametros!$H$6,"B","C")))</f>
        <v>B</v>
      </c>
      <c r="V97" s="17" t="s">
        <v>94</v>
      </c>
      <c r="W97" s="17"/>
      <c r="X97" s="14"/>
      <c r="Y97" s="14"/>
      <c r="Z97" s="14"/>
      <c r="AA97" s="14"/>
      <c r="AB97" s="14"/>
      <c r="AC97" s="14"/>
      <c r="AD97" s="14"/>
      <c r="AE97" s="14"/>
      <c r="AF97" s="14" t="s">
        <v>267</v>
      </c>
      <c r="AG97" s="14" t="s">
        <v>981</v>
      </c>
      <c r="AH97" s="14" t="s">
        <v>120</v>
      </c>
    </row>
    <row r="98" customFormat="false" ht="15" hidden="false" customHeight="false" outlineLevel="0" collapsed="false">
      <c r="A98" s="14" t="s">
        <v>982</v>
      </c>
      <c r="B98" s="14" t="s">
        <v>983</v>
      </c>
      <c r="C98" s="14" t="s">
        <v>984</v>
      </c>
      <c r="D98" s="14"/>
      <c r="E98" s="14" t="s">
        <v>6</v>
      </c>
      <c r="F98" s="14" t="s">
        <v>280</v>
      </c>
      <c r="G98" s="15" t="s">
        <v>125</v>
      </c>
      <c r="H98" s="14" t="s">
        <v>126</v>
      </c>
      <c r="I98" s="14" t="s">
        <v>210</v>
      </c>
      <c r="J98" s="14" t="s">
        <v>8</v>
      </c>
      <c r="K98" s="14" t="s">
        <v>90</v>
      </c>
      <c r="L98" s="15" t="s">
        <v>91</v>
      </c>
      <c r="M98" s="14" t="s">
        <v>809</v>
      </c>
      <c r="N98" s="16" t="s">
        <v>985</v>
      </c>
      <c r="O98" s="15"/>
      <c r="P98" s="15"/>
      <c r="Q98" s="15" t="n">
        <f aca="false">IFERROR(VLOOKUP(J98,Parametros!$A$5:$B$9,2,FALSE()),0)</f>
        <v>3</v>
      </c>
      <c r="R98" s="15" t="n">
        <f aca="false">IFERROR(VLOOKUP(H98,Parametros!$D$5:$E$23,2,FALSE()),1)</f>
        <v>3</v>
      </c>
      <c r="S98" s="15" t="n">
        <f aca="false">IF(OR(N(O98)&gt;=Parametros!$H$9,AND(N(P98)&gt;0,N(P98)&lt;=Parametros!$H$10)),1,0)</f>
        <v>0</v>
      </c>
      <c r="T98" s="15" t="n">
        <f aca="false">Q98+R98+S98</f>
        <v>6</v>
      </c>
      <c r="U98" s="15" t="str">
        <f aca="false">IF(OR(V98="Inactive",V98="No encontrada",V98="Duplicado"),"Descartada",IF(AND(T98&gt;=Parametros!$H$5,S98=1),"A",IF(T98&gt;=Parametros!$H$6,"B","C")))</f>
        <v>B</v>
      </c>
      <c r="V98" s="17" t="s">
        <v>94</v>
      </c>
      <c r="W98" s="17"/>
      <c r="X98" s="14" t="s">
        <v>986</v>
      </c>
      <c r="Y98" s="14" t="s">
        <v>987</v>
      </c>
      <c r="Z98" s="14"/>
      <c r="AA98" s="16" t="s">
        <v>988</v>
      </c>
      <c r="AB98" s="14"/>
      <c r="AC98" s="14"/>
      <c r="AD98" s="16" t="s">
        <v>989</v>
      </c>
      <c r="AE98" s="16" t="s">
        <v>990</v>
      </c>
      <c r="AF98" s="14"/>
      <c r="AG98" s="14" t="s">
        <v>100</v>
      </c>
      <c r="AH98" s="14" t="s">
        <v>120</v>
      </c>
    </row>
    <row r="99" customFormat="false" ht="15" hidden="false" customHeight="false" outlineLevel="0" collapsed="false">
      <c r="A99" s="14" t="s">
        <v>991</v>
      </c>
      <c r="B99" s="14" t="s">
        <v>992</v>
      </c>
      <c r="C99" s="14" t="s">
        <v>993</v>
      </c>
      <c r="D99" s="14"/>
      <c r="E99" s="14" t="s">
        <v>6</v>
      </c>
      <c r="F99" s="14" t="s">
        <v>280</v>
      </c>
      <c r="G99" s="15" t="s">
        <v>125</v>
      </c>
      <c r="H99" s="14" t="s">
        <v>126</v>
      </c>
      <c r="I99" s="14" t="s">
        <v>210</v>
      </c>
      <c r="J99" s="14" t="s">
        <v>199</v>
      </c>
      <c r="K99" s="14" t="s">
        <v>90</v>
      </c>
      <c r="L99" s="15" t="s">
        <v>91</v>
      </c>
      <c r="M99" s="14" t="s">
        <v>809</v>
      </c>
      <c r="N99" s="16" t="s">
        <v>994</v>
      </c>
      <c r="O99" s="15"/>
      <c r="P99" s="15"/>
      <c r="Q99" s="15" t="n">
        <f aca="false">IFERROR(VLOOKUP(J99,Parametros!$A$5:$B$9,2,FALSE()),0)</f>
        <v>1</v>
      </c>
      <c r="R99" s="15" t="n">
        <f aca="false">IFERROR(VLOOKUP(H99,Parametros!$D$5:$E$23,2,FALSE()),1)</f>
        <v>3</v>
      </c>
      <c r="S99" s="15" t="n">
        <f aca="false">IF(OR(N(O99)&gt;=Parametros!$H$9,AND(N(P99)&gt;0,N(P99)&lt;=Parametros!$H$10)),1,0)</f>
        <v>0</v>
      </c>
      <c r="T99" s="15" t="n">
        <f aca="false">Q99+R99+S99</f>
        <v>4</v>
      </c>
      <c r="U99" s="15" t="str">
        <f aca="false">IF(OR(V99="Inactive",V99="No encontrada",V99="Duplicado"),"Descartada",IF(AND(T99&gt;=Parametros!$H$5,S99=1),"A",IF(T99&gt;=Parametros!$H$6,"B","C")))</f>
        <v>B</v>
      </c>
      <c r="V99" s="17" t="s">
        <v>94</v>
      </c>
      <c r="W99" s="17"/>
      <c r="X99" s="14" t="s">
        <v>995</v>
      </c>
      <c r="Y99" s="14" t="s">
        <v>996</v>
      </c>
      <c r="Z99" s="14" t="s">
        <v>997</v>
      </c>
      <c r="AA99" s="16" t="s">
        <v>998</v>
      </c>
      <c r="AB99" s="14"/>
      <c r="AC99" s="14"/>
      <c r="AD99" s="16" t="s">
        <v>999</v>
      </c>
      <c r="AE99" s="16" t="s">
        <v>1000</v>
      </c>
      <c r="AF99" s="14"/>
      <c r="AG99" s="14"/>
      <c r="AH99" s="14" t="s">
        <v>120</v>
      </c>
    </row>
    <row r="100" customFormat="false" ht="15" hidden="false" customHeight="false" outlineLevel="0" collapsed="false">
      <c r="A100" s="14" t="s">
        <v>1001</v>
      </c>
      <c r="B100" s="14" t="s">
        <v>1002</v>
      </c>
      <c r="C100" s="14" t="s">
        <v>68</v>
      </c>
      <c r="D100" s="14"/>
      <c r="E100" s="14" t="s">
        <v>6</v>
      </c>
      <c r="F100" s="14" t="s">
        <v>1003</v>
      </c>
      <c r="G100" s="15" t="s">
        <v>1004</v>
      </c>
      <c r="H100" s="14" t="s">
        <v>1005</v>
      </c>
      <c r="I100" s="14" t="s">
        <v>89</v>
      </c>
      <c r="J100" s="14" t="s">
        <v>148</v>
      </c>
      <c r="K100" s="14" t="s">
        <v>61</v>
      </c>
      <c r="L100" s="15" t="s">
        <v>91</v>
      </c>
      <c r="M100" s="14" t="s">
        <v>1006</v>
      </c>
      <c r="N100" s="16" t="s">
        <v>1007</v>
      </c>
      <c r="O100" s="15" t="n">
        <v>3</v>
      </c>
      <c r="P100" s="15" t="n">
        <v>2005</v>
      </c>
      <c r="Q100" s="15" t="n">
        <f aca="false">IFERROR(VLOOKUP(J100,Parametros!$A$5:$B$9,2,FALSE()),0)</f>
        <v>3</v>
      </c>
      <c r="R100" s="15" t="n">
        <f aca="false">IFERROR(VLOOKUP(H100,Parametros!$D$5:$E$23,2,FALSE()),1)</f>
        <v>3</v>
      </c>
      <c r="S100" s="15" t="n">
        <f aca="false">IF(OR(N(O100)&gt;=Parametros!$H$9,AND(N(P100)&gt;0,N(P100)&lt;=Parametros!$H$10)),1,0)</f>
        <v>0</v>
      </c>
      <c r="T100" s="15" t="n">
        <f aca="false">Q100+R100+S100</f>
        <v>6</v>
      </c>
      <c r="U100" s="15" t="str">
        <f aca="false">IF(OR(V100="Inactive",V100="No encontrada",V100="Duplicado"),"Descartada",IF(AND(T100&gt;=Parametros!$H$5,S100=1),"A",IF(T100&gt;=Parametros!$H$6,"B","C")))</f>
        <v>B</v>
      </c>
      <c r="V100" s="17" t="s">
        <v>94</v>
      </c>
      <c r="W100" s="17"/>
      <c r="X100" s="14" t="s">
        <v>1008</v>
      </c>
      <c r="Y100" s="14" t="s">
        <v>1009</v>
      </c>
      <c r="Z100" s="14" t="s">
        <v>1010</v>
      </c>
      <c r="AA100" s="14"/>
      <c r="AB100" s="14"/>
      <c r="AC100" s="14"/>
      <c r="AD100" s="16" t="s">
        <v>1011</v>
      </c>
      <c r="AE100" s="16" t="s">
        <v>1011</v>
      </c>
      <c r="AF100" s="14"/>
      <c r="AG100" s="14"/>
      <c r="AH100" s="14" t="s">
        <v>1012</v>
      </c>
    </row>
    <row r="101" customFormat="false" ht="23.85" hidden="false" customHeight="false" outlineLevel="0" collapsed="false">
      <c r="A101" s="14" t="s">
        <v>1013</v>
      </c>
      <c r="B101" s="14" t="s">
        <v>1014</v>
      </c>
      <c r="C101" s="14" t="s">
        <v>68</v>
      </c>
      <c r="D101" s="14"/>
      <c r="E101" s="14" t="s">
        <v>6</v>
      </c>
      <c r="F101" s="14" t="s">
        <v>1015</v>
      </c>
      <c r="G101" s="15" t="s">
        <v>1004</v>
      </c>
      <c r="H101" s="14" t="s">
        <v>1005</v>
      </c>
      <c r="I101" s="14" t="s">
        <v>210</v>
      </c>
      <c r="J101" s="14" t="s">
        <v>235</v>
      </c>
      <c r="K101" s="14" t="s">
        <v>59</v>
      </c>
      <c r="L101" s="15" t="s">
        <v>91</v>
      </c>
      <c r="M101" s="14" t="s">
        <v>1016</v>
      </c>
      <c r="N101" s="16" t="s">
        <v>1017</v>
      </c>
      <c r="O101" s="15"/>
      <c r="P101" s="15"/>
      <c r="Q101" s="15" t="n">
        <f aca="false">IFERROR(VLOOKUP(J101,Parametros!$A$5:$B$9,2,FALSE()),0)</f>
        <v>2</v>
      </c>
      <c r="R101" s="15" t="n">
        <f aca="false">IFERROR(VLOOKUP(H101,Parametros!$D$5:$E$23,2,FALSE()),1)</f>
        <v>3</v>
      </c>
      <c r="S101" s="15" t="n">
        <f aca="false">IF(OR(N(O101)&gt;=Parametros!$H$9,AND(N(P101)&gt;0,N(P101)&lt;=Parametros!$H$10)),1,0)</f>
        <v>0</v>
      </c>
      <c r="T101" s="15" t="n">
        <f aca="false">Q101+R101+S101</f>
        <v>5</v>
      </c>
      <c r="U101" s="15" t="str">
        <f aca="false">IF(OR(V101="Inactive",V101="No encontrada",V101="Duplicado"),"Descartada",IF(AND(T101&gt;=Parametros!$H$5,S101=1),"A",IF(T101&gt;=Parametros!$H$6,"B","C")))</f>
        <v>B</v>
      </c>
      <c r="V101" s="17" t="s">
        <v>94</v>
      </c>
      <c r="W101" s="17"/>
      <c r="X101" s="14" t="s">
        <v>1018</v>
      </c>
      <c r="Y101" s="14" t="s">
        <v>1019</v>
      </c>
      <c r="Z101" s="14" t="s">
        <v>1020</v>
      </c>
      <c r="AA101" s="14"/>
      <c r="AB101" s="16" t="s">
        <v>1021</v>
      </c>
      <c r="AC101" s="14"/>
      <c r="AD101" s="14"/>
      <c r="AE101" s="14" t="s">
        <v>1020</v>
      </c>
      <c r="AF101" s="14"/>
      <c r="AG101" s="14" t="s">
        <v>1022</v>
      </c>
      <c r="AH101" s="14" t="s">
        <v>1012</v>
      </c>
    </row>
    <row r="102" customFormat="false" ht="15" hidden="false" customHeight="false" outlineLevel="0" collapsed="false">
      <c r="A102" s="14" t="s">
        <v>1023</v>
      </c>
      <c r="B102" s="14" t="s">
        <v>1024</v>
      </c>
      <c r="C102" s="14" t="s">
        <v>1025</v>
      </c>
      <c r="D102" s="14"/>
      <c r="E102" s="14" t="s">
        <v>9</v>
      </c>
      <c r="F102" s="14" t="s">
        <v>1026</v>
      </c>
      <c r="G102" s="15" t="s">
        <v>1004</v>
      </c>
      <c r="H102" s="14" t="s">
        <v>1005</v>
      </c>
      <c r="I102" s="14" t="s">
        <v>72</v>
      </c>
      <c r="J102" s="14" t="s">
        <v>148</v>
      </c>
      <c r="K102" s="14" t="s">
        <v>73</v>
      </c>
      <c r="L102" s="15" t="s">
        <v>74</v>
      </c>
      <c r="M102" s="14" t="s">
        <v>1027</v>
      </c>
      <c r="N102" s="16" t="s">
        <v>1028</v>
      </c>
      <c r="O102" s="15" t="n">
        <v>4</v>
      </c>
      <c r="P102" s="15" t="n">
        <v>2003</v>
      </c>
      <c r="Q102" s="15" t="n">
        <f aca="false">IFERROR(VLOOKUP(J102,Parametros!$A$5:$B$9,2,FALSE()),0)</f>
        <v>3</v>
      </c>
      <c r="R102" s="15" t="n">
        <f aca="false">IFERROR(VLOOKUP(H102,Parametros!$D$5:$E$23,2,FALSE()),1)</f>
        <v>3</v>
      </c>
      <c r="S102" s="15" t="n">
        <f aca="false">IF(OR(N(O102)&gt;=Parametros!$H$9,AND(N(P102)&gt;0,N(P102)&lt;=Parametros!$H$10)),1,0)</f>
        <v>0</v>
      </c>
      <c r="T102" s="15" t="n">
        <f aca="false">Q102+R102+S102</f>
        <v>6</v>
      </c>
      <c r="U102" s="15" t="str">
        <f aca="false">IF(OR(V102="Inactive",V102="No encontrada",V102="Duplicado"),"Descartada",IF(AND(T102&gt;=Parametros!$H$5,S102=1),"A",IF(T102&gt;=Parametros!$H$6,"B","C")))</f>
        <v>B</v>
      </c>
      <c r="V102" s="17" t="s">
        <v>94</v>
      </c>
      <c r="W102" s="17"/>
      <c r="X102" s="14" t="s">
        <v>1029</v>
      </c>
      <c r="Y102" s="14" t="s">
        <v>1030</v>
      </c>
      <c r="Z102" s="14" t="s">
        <v>1031</v>
      </c>
      <c r="AA102" s="14"/>
      <c r="AB102" s="14"/>
      <c r="AC102" s="14"/>
      <c r="AD102" s="14"/>
      <c r="AE102" s="16" t="s">
        <v>1032</v>
      </c>
      <c r="AF102" s="14"/>
      <c r="AG102" s="14"/>
      <c r="AH102" s="14" t="s">
        <v>1012</v>
      </c>
    </row>
    <row r="103" customFormat="false" ht="23.85" hidden="false" customHeight="false" outlineLevel="0" collapsed="false">
      <c r="A103" s="14" t="s">
        <v>1033</v>
      </c>
      <c r="B103" s="14" t="s">
        <v>1034</v>
      </c>
      <c r="C103" s="14" t="s">
        <v>563</v>
      </c>
      <c r="D103" s="14"/>
      <c r="E103" s="14" t="s">
        <v>6</v>
      </c>
      <c r="F103" s="14" t="s">
        <v>1035</v>
      </c>
      <c r="G103" s="15" t="s">
        <v>1004</v>
      </c>
      <c r="H103" s="14" t="s">
        <v>1005</v>
      </c>
      <c r="I103" s="14" t="s">
        <v>115</v>
      </c>
      <c r="J103" s="14" t="s">
        <v>199</v>
      </c>
      <c r="K103" s="14" t="s">
        <v>61</v>
      </c>
      <c r="L103" s="15" t="s">
        <v>91</v>
      </c>
      <c r="M103" s="14" t="s">
        <v>1036</v>
      </c>
      <c r="N103" s="16" t="s">
        <v>1037</v>
      </c>
      <c r="O103" s="15"/>
      <c r="P103" s="15" t="n">
        <v>2013</v>
      </c>
      <c r="Q103" s="15" t="n">
        <f aca="false">IFERROR(VLOOKUP(J103,Parametros!$A$5:$B$9,2,FALSE()),0)</f>
        <v>1</v>
      </c>
      <c r="R103" s="15" t="n">
        <f aca="false">IFERROR(VLOOKUP(H103,Parametros!$D$5:$E$23,2,FALSE()),1)</f>
        <v>3</v>
      </c>
      <c r="S103" s="15" t="n">
        <f aca="false">IF(OR(N(O103)&gt;=Parametros!$H$9,AND(N(P103)&gt;0,N(P103)&lt;=Parametros!$H$10)),1,0)</f>
        <v>0</v>
      </c>
      <c r="T103" s="15" t="n">
        <f aca="false">Q103+R103+S103</f>
        <v>4</v>
      </c>
      <c r="U103" s="15" t="str">
        <f aca="false">IF(OR(V103="Inactive",V103="No encontrada",V103="Duplicado"),"Descartada",IF(AND(T103&gt;=Parametros!$H$5,S103=1),"A",IF(T103&gt;=Parametros!$H$6,"B","C")))</f>
        <v>B</v>
      </c>
      <c r="V103" s="17" t="s">
        <v>94</v>
      </c>
      <c r="W103" s="17"/>
      <c r="X103" s="14" t="s">
        <v>1038</v>
      </c>
      <c r="Y103" s="14" t="s">
        <v>1039</v>
      </c>
      <c r="Z103" s="14" t="s">
        <v>1040</v>
      </c>
      <c r="AA103" s="14"/>
      <c r="AB103" s="14"/>
      <c r="AC103" s="14"/>
      <c r="AD103" s="16" t="s">
        <v>1037</v>
      </c>
      <c r="AE103" s="16" t="s">
        <v>1037</v>
      </c>
      <c r="AF103" s="14"/>
      <c r="AG103" s="14"/>
      <c r="AH103" s="14" t="s">
        <v>1012</v>
      </c>
    </row>
    <row r="104" customFormat="false" ht="23.85" hidden="false" customHeight="false" outlineLevel="0" collapsed="false">
      <c r="A104" s="14" t="s">
        <v>1041</v>
      </c>
      <c r="B104" s="14" t="s">
        <v>1042</v>
      </c>
      <c r="C104" s="14" t="s">
        <v>420</v>
      </c>
      <c r="D104" s="14"/>
      <c r="E104" s="14" t="s">
        <v>6</v>
      </c>
      <c r="F104" s="14" t="s">
        <v>1043</v>
      </c>
      <c r="G104" s="15" t="s">
        <v>1004</v>
      </c>
      <c r="H104" s="14" t="s">
        <v>1005</v>
      </c>
      <c r="I104" s="14" t="s">
        <v>89</v>
      </c>
      <c r="J104" s="14" t="s">
        <v>235</v>
      </c>
      <c r="K104" s="14" t="s">
        <v>73</v>
      </c>
      <c r="L104" s="15" t="s">
        <v>74</v>
      </c>
      <c r="M104" s="14" t="s">
        <v>1044</v>
      </c>
      <c r="N104" s="16" t="s">
        <v>1045</v>
      </c>
      <c r="O104" s="15" t="n">
        <v>1</v>
      </c>
      <c r="P104" s="15" t="n">
        <v>1998</v>
      </c>
      <c r="Q104" s="15" t="n">
        <f aca="false">IFERROR(VLOOKUP(J104,Parametros!$A$5:$B$9,2,FALSE()),0)</f>
        <v>2</v>
      </c>
      <c r="R104" s="15" t="n">
        <f aca="false">IFERROR(VLOOKUP(H104,Parametros!$D$5:$E$23,2,FALSE()),1)</f>
        <v>3</v>
      </c>
      <c r="S104" s="15" t="n">
        <f aca="false">IF(OR(N(O104)&gt;=Parametros!$H$9,AND(N(P104)&gt;0,N(P104)&lt;=Parametros!$H$10)),1,0)</f>
        <v>1</v>
      </c>
      <c r="T104" s="15" t="n">
        <f aca="false">Q104+R104+S104</f>
        <v>6</v>
      </c>
      <c r="U104" s="15" t="str">
        <f aca="false">IF(OR(V104="Inactive",V104="No encontrada",V104="Duplicado"),"Descartada",IF(AND(T104&gt;=Parametros!$H$5,S104=1),"A",IF(T104&gt;=Parametros!$H$6,"B","C")))</f>
        <v>A</v>
      </c>
      <c r="V104" s="17" t="s">
        <v>94</v>
      </c>
      <c r="W104" s="17"/>
      <c r="X104" s="14" t="s">
        <v>1046</v>
      </c>
      <c r="Y104" s="14" t="s">
        <v>1047</v>
      </c>
      <c r="Z104" s="14" t="s">
        <v>1048</v>
      </c>
      <c r="AA104" s="14"/>
      <c r="AB104" s="14"/>
      <c r="AC104" s="14"/>
      <c r="AD104" s="14"/>
      <c r="AE104" s="16" t="s">
        <v>1045</v>
      </c>
      <c r="AF104" s="14"/>
      <c r="AG104" s="14" t="s">
        <v>1049</v>
      </c>
      <c r="AH104" s="14" t="s">
        <v>1012</v>
      </c>
    </row>
    <row r="105" customFormat="false" ht="15" hidden="false" customHeight="false" outlineLevel="0" collapsed="false">
      <c r="A105" s="14" t="s">
        <v>1050</v>
      </c>
      <c r="B105" s="14" t="s">
        <v>1051</v>
      </c>
      <c r="C105" s="14" t="s">
        <v>1052</v>
      </c>
      <c r="D105" s="14"/>
      <c r="E105" s="14" t="s">
        <v>6</v>
      </c>
      <c r="F105" s="14" t="s">
        <v>1053</v>
      </c>
      <c r="G105" s="15" t="s">
        <v>1004</v>
      </c>
      <c r="H105" s="14" t="s">
        <v>1005</v>
      </c>
      <c r="I105" s="14" t="s">
        <v>72</v>
      </c>
      <c r="J105" s="14" t="s">
        <v>235</v>
      </c>
      <c r="K105" s="14" t="s">
        <v>61</v>
      </c>
      <c r="L105" s="15" t="s">
        <v>91</v>
      </c>
      <c r="M105" s="14" t="s">
        <v>1054</v>
      </c>
      <c r="N105" s="16" t="s">
        <v>1055</v>
      </c>
      <c r="O105" s="15"/>
      <c r="P105" s="15" t="n">
        <v>1994</v>
      </c>
      <c r="Q105" s="15" t="n">
        <f aca="false">IFERROR(VLOOKUP(J105,Parametros!$A$5:$B$9,2,FALSE()),0)</f>
        <v>2</v>
      </c>
      <c r="R105" s="15" t="n">
        <f aca="false">IFERROR(VLOOKUP(H105,Parametros!$D$5:$E$23,2,FALSE()),1)</f>
        <v>3</v>
      </c>
      <c r="S105" s="15" t="n">
        <f aca="false">IF(OR(N(O105)&gt;=Parametros!$H$9,AND(N(P105)&gt;0,N(P105)&lt;=Parametros!$H$10)),1,0)</f>
        <v>1</v>
      </c>
      <c r="T105" s="15" t="n">
        <f aca="false">Q105+R105+S105</f>
        <v>6</v>
      </c>
      <c r="U105" s="15" t="str">
        <f aca="false">IF(OR(V105="Inactive",V105="No encontrada",V105="Duplicado"),"Descartada",IF(AND(T105&gt;=Parametros!$H$5,S105=1),"A",IF(T105&gt;=Parametros!$H$6,"B","C")))</f>
        <v>A</v>
      </c>
      <c r="V105" s="17" t="s">
        <v>94</v>
      </c>
      <c r="W105" s="17"/>
      <c r="X105" s="14" t="s">
        <v>1056</v>
      </c>
      <c r="Y105" s="14" t="s">
        <v>1057</v>
      </c>
      <c r="Z105" s="14" t="s">
        <v>1058</v>
      </c>
      <c r="AA105" s="14"/>
      <c r="AB105" s="14"/>
      <c r="AC105" s="14"/>
      <c r="AD105" s="16" t="s">
        <v>1059</v>
      </c>
      <c r="AE105" s="16" t="s">
        <v>1059</v>
      </c>
      <c r="AF105" s="14"/>
      <c r="AG105" s="14"/>
      <c r="AH105" s="14" t="s">
        <v>1060</v>
      </c>
    </row>
    <row r="106" customFormat="false" ht="15" hidden="false" customHeight="false" outlineLevel="0" collapsed="false">
      <c r="A106" s="14" t="s">
        <v>1061</v>
      </c>
      <c r="B106" s="14" t="s">
        <v>1062</v>
      </c>
      <c r="C106" s="14" t="s">
        <v>1052</v>
      </c>
      <c r="D106" s="14"/>
      <c r="E106" s="14" t="s">
        <v>6</v>
      </c>
      <c r="F106" s="14" t="s">
        <v>1063</v>
      </c>
      <c r="G106" s="15" t="s">
        <v>1004</v>
      </c>
      <c r="H106" s="14" t="s">
        <v>1005</v>
      </c>
      <c r="I106" s="14" t="s">
        <v>72</v>
      </c>
      <c r="J106" s="14" t="s">
        <v>199</v>
      </c>
      <c r="K106" s="14" t="s">
        <v>1064</v>
      </c>
      <c r="L106" s="15" t="s">
        <v>91</v>
      </c>
      <c r="M106" s="14" t="s">
        <v>1065</v>
      </c>
      <c r="N106" s="16" t="s">
        <v>1066</v>
      </c>
      <c r="O106" s="15" t="n">
        <v>11</v>
      </c>
      <c r="P106" s="15" t="n">
        <v>1985</v>
      </c>
      <c r="Q106" s="15" t="n">
        <f aca="false">IFERROR(VLOOKUP(J106,Parametros!$A$5:$B$9,2,FALSE()),0)</f>
        <v>1</v>
      </c>
      <c r="R106" s="15" t="n">
        <f aca="false">IFERROR(VLOOKUP(H106,Parametros!$D$5:$E$23,2,FALSE()),1)</f>
        <v>3</v>
      </c>
      <c r="S106" s="15" t="n">
        <f aca="false">IF(OR(N(O106)&gt;=Parametros!$H$9,AND(N(P106)&gt;0,N(P106)&lt;=Parametros!$H$10)),1,0)</f>
        <v>1</v>
      </c>
      <c r="T106" s="15" t="n">
        <f aca="false">Q106+R106+S106</f>
        <v>5</v>
      </c>
      <c r="U106" s="15" t="str">
        <f aca="false">IF(OR(V106="Inactive",V106="No encontrada",V106="Duplicado"),"Descartada",IF(AND(T106&gt;=Parametros!$H$5,S106=1),"A",IF(T106&gt;=Parametros!$H$6,"B","C")))</f>
        <v>B</v>
      </c>
      <c r="V106" s="17" t="s">
        <v>94</v>
      </c>
      <c r="W106" s="17"/>
      <c r="X106" s="14" t="s">
        <v>1067</v>
      </c>
      <c r="Y106" s="14" t="s">
        <v>1068</v>
      </c>
      <c r="Z106" s="14" t="s">
        <v>1069</v>
      </c>
      <c r="AA106" s="14"/>
      <c r="AB106" s="16" t="s">
        <v>1070</v>
      </c>
      <c r="AC106" s="16" t="s">
        <v>1071</v>
      </c>
      <c r="AD106" s="16" t="s">
        <v>1072</v>
      </c>
      <c r="AE106" s="14" t="s">
        <v>1069</v>
      </c>
      <c r="AF106" s="14"/>
      <c r="AG106" s="14"/>
      <c r="AH106" s="14" t="s">
        <v>1060</v>
      </c>
    </row>
    <row r="107" customFormat="false" ht="23.85" hidden="false" customHeight="false" outlineLevel="0" collapsed="false">
      <c r="A107" s="14" t="s">
        <v>1073</v>
      </c>
      <c r="B107" s="14" t="s">
        <v>1074</v>
      </c>
      <c r="C107" s="14" t="s">
        <v>68</v>
      </c>
      <c r="D107" s="14"/>
      <c r="E107" s="14" t="s">
        <v>6</v>
      </c>
      <c r="F107" s="14" t="s">
        <v>1075</v>
      </c>
      <c r="G107" s="15" t="s">
        <v>1004</v>
      </c>
      <c r="H107" s="14" t="s">
        <v>1005</v>
      </c>
      <c r="I107" s="14" t="s">
        <v>72</v>
      </c>
      <c r="J107" s="14" t="s">
        <v>235</v>
      </c>
      <c r="K107" s="14" t="s">
        <v>211</v>
      </c>
      <c r="L107" s="15" t="s">
        <v>91</v>
      </c>
      <c r="M107" s="14" t="s">
        <v>1076</v>
      </c>
      <c r="N107" s="16" t="s">
        <v>1077</v>
      </c>
      <c r="O107" s="15"/>
      <c r="P107" s="15" t="n">
        <v>2002</v>
      </c>
      <c r="Q107" s="15" t="n">
        <f aca="false">IFERROR(VLOOKUP(J107,Parametros!$A$5:$B$9,2,FALSE()),0)</f>
        <v>2</v>
      </c>
      <c r="R107" s="15" t="n">
        <f aca="false">IFERROR(VLOOKUP(H107,Parametros!$D$5:$E$23,2,FALSE()),1)</f>
        <v>3</v>
      </c>
      <c r="S107" s="15" t="n">
        <f aca="false">IF(OR(N(O107)&gt;=Parametros!$H$9,AND(N(P107)&gt;0,N(P107)&lt;=Parametros!$H$10)),1,0)</f>
        <v>0</v>
      </c>
      <c r="T107" s="15" t="n">
        <f aca="false">Q107+R107+S107</f>
        <v>5</v>
      </c>
      <c r="U107" s="15" t="str">
        <f aca="false">IF(OR(V107="Inactive",V107="No encontrada",V107="Duplicado"),"Descartada",IF(AND(T107&gt;=Parametros!$H$5,S107=1),"A",IF(T107&gt;=Parametros!$H$6,"B","C")))</f>
        <v>B</v>
      </c>
      <c r="V107" s="17" t="s">
        <v>94</v>
      </c>
      <c r="W107" s="17"/>
      <c r="X107" s="14" t="s">
        <v>1078</v>
      </c>
      <c r="Y107" s="14" t="s">
        <v>1079</v>
      </c>
      <c r="Z107" s="14" t="s">
        <v>1080</v>
      </c>
      <c r="AA107" s="16" t="s">
        <v>1081</v>
      </c>
      <c r="AB107" s="16" t="s">
        <v>1082</v>
      </c>
      <c r="AC107" s="14"/>
      <c r="AD107" s="16" t="s">
        <v>1083</v>
      </c>
      <c r="AE107" s="14" t="s">
        <v>1084</v>
      </c>
      <c r="AF107" s="14"/>
      <c r="AG107" s="14" t="s">
        <v>1085</v>
      </c>
      <c r="AH107" s="14" t="s">
        <v>1086</v>
      </c>
    </row>
    <row r="108" customFormat="false" ht="15" hidden="false" customHeight="false" outlineLevel="0" collapsed="false">
      <c r="A108" s="14" t="s">
        <v>1087</v>
      </c>
      <c r="B108" s="14" t="s">
        <v>1088</v>
      </c>
      <c r="C108" s="14" t="s">
        <v>1025</v>
      </c>
      <c r="D108" s="14"/>
      <c r="E108" s="14" t="s">
        <v>9</v>
      </c>
      <c r="F108" s="14" t="s">
        <v>1089</v>
      </c>
      <c r="G108" s="15" t="s">
        <v>1004</v>
      </c>
      <c r="H108" s="14" t="s">
        <v>1005</v>
      </c>
      <c r="I108" s="14" t="s">
        <v>210</v>
      </c>
      <c r="J108" s="14" t="s">
        <v>8</v>
      </c>
      <c r="K108" s="14" t="s">
        <v>61</v>
      </c>
      <c r="L108" s="15" t="s">
        <v>91</v>
      </c>
      <c r="M108" s="14" t="s">
        <v>1090</v>
      </c>
      <c r="N108" s="16" t="s">
        <v>1091</v>
      </c>
      <c r="O108" s="15"/>
      <c r="P108" s="15" t="n">
        <v>1982</v>
      </c>
      <c r="Q108" s="15" t="n">
        <f aca="false">IFERROR(VLOOKUP(J108,Parametros!$A$5:$B$9,2,FALSE()),0)</f>
        <v>3</v>
      </c>
      <c r="R108" s="15" t="n">
        <f aca="false">IFERROR(VLOOKUP(H108,Parametros!$D$5:$E$23,2,FALSE()),1)</f>
        <v>3</v>
      </c>
      <c r="S108" s="15" t="n">
        <f aca="false">IF(OR(N(O108)&gt;=Parametros!$H$9,AND(N(P108)&gt;0,N(P108)&lt;=Parametros!$H$10)),1,0)</f>
        <v>1</v>
      </c>
      <c r="T108" s="15" t="n">
        <f aca="false">Q108+R108+S108</f>
        <v>7</v>
      </c>
      <c r="U108" s="15" t="str">
        <f aca="false">IF(OR(V108="Inactive",V108="No encontrada",V108="Duplicado"),"Descartada",IF(AND(T108&gt;=Parametros!$H$5,S108=1),"A",IF(T108&gt;=Parametros!$H$6,"B","C")))</f>
        <v>A</v>
      </c>
      <c r="V108" s="17" t="s">
        <v>94</v>
      </c>
      <c r="W108" s="17"/>
      <c r="X108" s="14" t="s">
        <v>1092</v>
      </c>
      <c r="Y108" s="14" t="s">
        <v>1093</v>
      </c>
      <c r="Z108" s="14"/>
      <c r="AA108" s="14"/>
      <c r="AB108" s="14"/>
      <c r="AC108" s="14"/>
      <c r="AD108" s="16" t="s">
        <v>1094</v>
      </c>
      <c r="AE108" s="16" t="s">
        <v>1094</v>
      </c>
      <c r="AF108" s="14"/>
      <c r="AG108" s="14" t="s">
        <v>100</v>
      </c>
      <c r="AH108" s="14" t="s">
        <v>1086</v>
      </c>
    </row>
    <row r="109" customFormat="false" ht="15" hidden="false" customHeight="false" outlineLevel="0" collapsed="false">
      <c r="A109" s="14" t="s">
        <v>1095</v>
      </c>
      <c r="B109" s="14" t="s">
        <v>1096</v>
      </c>
      <c r="C109" s="14" t="s">
        <v>68</v>
      </c>
      <c r="D109" s="14"/>
      <c r="E109" s="14" t="s">
        <v>6</v>
      </c>
      <c r="F109" s="14" t="s">
        <v>1097</v>
      </c>
      <c r="G109" s="15" t="s">
        <v>474</v>
      </c>
      <c r="H109" s="14" t="s">
        <v>475</v>
      </c>
      <c r="I109" s="14" t="s">
        <v>72</v>
      </c>
      <c r="J109" s="14" t="s">
        <v>8</v>
      </c>
      <c r="K109" s="14" t="s">
        <v>61</v>
      </c>
      <c r="L109" s="15" t="s">
        <v>91</v>
      </c>
      <c r="M109" s="14" t="s">
        <v>1098</v>
      </c>
      <c r="N109" s="16" t="s">
        <v>1099</v>
      </c>
      <c r="O109" s="15"/>
      <c r="P109" s="15" t="n">
        <v>2008</v>
      </c>
      <c r="Q109" s="15" t="n">
        <f aca="false">IFERROR(VLOOKUP(J109,Parametros!$A$5:$B$9,2,FALSE()),0)</f>
        <v>3</v>
      </c>
      <c r="R109" s="15" t="n">
        <f aca="false">IFERROR(VLOOKUP(H109,Parametros!$D$5:$E$23,2,FALSE()),1)</f>
        <v>3</v>
      </c>
      <c r="S109" s="15" t="n">
        <f aca="false">IF(OR(N(O109)&gt;=Parametros!$H$9,AND(N(P109)&gt;0,N(P109)&lt;=Parametros!$H$10)),1,0)</f>
        <v>0</v>
      </c>
      <c r="T109" s="15" t="n">
        <f aca="false">Q109+R109+S109</f>
        <v>6</v>
      </c>
      <c r="U109" s="15" t="str">
        <f aca="false">IF(OR(V109="Inactive",V109="No encontrada",V109="Duplicado"),"Descartada",IF(AND(T109&gt;=Parametros!$H$5,S109=1),"A",IF(T109&gt;=Parametros!$H$6,"B","C")))</f>
        <v>B</v>
      </c>
      <c r="V109" s="17" t="s">
        <v>94</v>
      </c>
      <c r="W109" s="17"/>
      <c r="X109" s="14" t="s">
        <v>1100</v>
      </c>
      <c r="Y109" s="14" t="s">
        <v>1101</v>
      </c>
      <c r="Z109" s="14"/>
      <c r="AA109" s="14"/>
      <c r="AB109" s="14"/>
      <c r="AC109" s="14"/>
      <c r="AD109" s="16" t="s">
        <v>1102</v>
      </c>
      <c r="AE109" s="16" t="s">
        <v>1102</v>
      </c>
      <c r="AF109" s="14"/>
      <c r="AG109" s="14" t="s">
        <v>100</v>
      </c>
      <c r="AH109" s="14" t="s">
        <v>483</v>
      </c>
    </row>
    <row r="110" customFormat="false" ht="23.85" hidden="false" customHeight="false" outlineLevel="0" collapsed="false">
      <c r="A110" s="14" t="s">
        <v>1103</v>
      </c>
      <c r="B110" s="14" t="s">
        <v>1104</v>
      </c>
      <c r="C110" s="14" t="s">
        <v>68</v>
      </c>
      <c r="D110" s="14"/>
      <c r="E110" s="14" t="s">
        <v>6</v>
      </c>
      <c r="F110" s="14" t="s">
        <v>1105</v>
      </c>
      <c r="G110" s="15" t="s">
        <v>474</v>
      </c>
      <c r="H110" s="14" t="s">
        <v>475</v>
      </c>
      <c r="I110" s="14" t="s">
        <v>210</v>
      </c>
      <c r="J110" s="14" t="s">
        <v>8</v>
      </c>
      <c r="K110" s="14" t="s">
        <v>61</v>
      </c>
      <c r="L110" s="15" t="s">
        <v>91</v>
      </c>
      <c r="M110" s="14" t="s">
        <v>1106</v>
      </c>
      <c r="N110" s="16" t="s">
        <v>1107</v>
      </c>
      <c r="O110" s="15"/>
      <c r="P110" s="15"/>
      <c r="Q110" s="15" t="n">
        <f aca="false">IFERROR(VLOOKUP(J110,Parametros!$A$5:$B$9,2,FALSE()),0)</f>
        <v>3</v>
      </c>
      <c r="R110" s="15" t="n">
        <f aca="false">IFERROR(VLOOKUP(H110,Parametros!$D$5:$E$23,2,FALSE()),1)</f>
        <v>3</v>
      </c>
      <c r="S110" s="15" t="n">
        <f aca="false">IF(OR(N(O110)&gt;=Parametros!$H$9,AND(N(P110)&gt;0,N(P110)&lt;=Parametros!$H$10)),1,0)</f>
        <v>0</v>
      </c>
      <c r="T110" s="15" t="n">
        <f aca="false">Q110+R110+S110</f>
        <v>6</v>
      </c>
      <c r="U110" s="15" t="str">
        <f aca="false">IF(OR(V110="Inactive",V110="No encontrada",V110="Duplicado"),"Descartada",IF(AND(T110&gt;=Parametros!$H$5,S110=1),"A",IF(T110&gt;=Parametros!$H$6,"B","C")))</f>
        <v>B</v>
      </c>
      <c r="V110" s="17" t="s">
        <v>94</v>
      </c>
      <c r="W110" s="17"/>
      <c r="X110" s="14" t="s">
        <v>1108</v>
      </c>
      <c r="Y110" s="14" t="s">
        <v>1109</v>
      </c>
      <c r="Z110" s="14"/>
      <c r="AA110" s="14"/>
      <c r="AB110" s="14"/>
      <c r="AC110" s="14"/>
      <c r="AD110" s="16" t="s">
        <v>1110</v>
      </c>
      <c r="AE110" s="16" t="s">
        <v>1110</v>
      </c>
      <c r="AF110" s="14"/>
      <c r="AG110" s="14" t="s">
        <v>100</v>
      </c>
      <c r="AH110" s="14" t="s">
        <v>483</v>
      </c>
    </row>
    <row r="111" customFormat="false" ht="15" hidden="false" customHeight="false" outlineLevel="0" collapsed="false">
      <c r="A111" s="14" t="s">
        <v>1111</v>
      </c>
      <c r="B111" s="14" t="s">
        <v>1112</v>
      </c>
      <c r="C111" s="14" t="s">
        <v>1113</v>
      </c>
      <c r="D111" s="14"/>
      <c r="E111" s="14" t="s">
        <v>6</v>
      </c>
      <c r="F111" s="14" t="s">
        <v>1114</v>
      </c>
      <c r="G111" s="15" t="s">
        <v>474</v>
      </c>
      <c r="H111" s="14" t="s">
        <v>475</v>
      </c>
      <c r="I111" s="14" t="s">
        <v>210</v>
      </c>
      <c r="J111" s="14" t="s">
        <v>199</v>
      </c>
      <c r="K111" s="14" t="s">
        <v>211</v>
      </c>
      <c r="L111" s="15" t="s">
        <v>91</v>
      </c>
      <c r="M111" s="14" t="s">
        <v>1115</v>
      </c>
      <c r="N111" s="16" t="s">
        <v>1116</v>
      </c>
      <c r="O111" s="15" t="n">
        <v>15</v>
      </c>
      <c r="P111" s="15" t="n">
        <v>1990</v>
      </c>
      <c r="Q111" s="15" t="n">
        <f aca="false">IFERROR(VLOOKUP(J111,Parametros!$A$5:$B$9,2,FALSE()),0)</f>
        <v>1</v>
      </c>
      <c r="R111" s="15" t="n">
        <f aca="false">IFERROR(VLOOKUP(H111,Parametros!$D$5:$E$23,2,FALSE()),1)</f>
        <v>3</v>
      </c>
      <c r="S111" s="15" t="n">
        <f aca="false">IF(OR(N(O111)&gt;=Parametros!$H$9,AND(N(P111)&gt;0,N(P111)&lt;=Parametros!$H$10)),1,0)</f>
        <v>1</v>
      </c>
      <c r="T111" s="15" t="n">
        <f aca="false">Q111+R111+S111</f>
        <v>5</v>
      </c>
      <c r="U111" s="15" t="str">
        <f aca="false">IF(OR(V111="Inactive",V111="No encontrada",V111="Duplicado"),"Descartada",IF(AND(T111&gt;=Parametros!$H$5,S111=1),"A",IF(T111&gt;=Parametros!$H$6,"B","C")))</f>
        <v>B</v>
      </c>
      <c r="V111" s="17" t="s">
        <v>94</v>
      </c>
      <c r="W111" s="17"/>
      <c r="X111" s="14" t="s">
        <v>1117</v>
      </c>
      <c r="Y111" s="14" t="s">
        <v>1118</v>
      </c>
      <c r="Z111" s="14" t="s">
        <v>1119</v>
      </c>
      <c r="AA111" s="16" t="s">
        <v>1120</v>
      </c>
      <c r="AB111" s="16" t="s">
        <v>1121</v>
      </c>
      <c r="AC111" s="14"/>
      <c r="AD111" s="16" t="s">
        <v>1122</v>
      </c>
      <c r="AE111" s="14" t="s">
        <v>1119</v>
      </c>
      <c r="AF111" s="14"/>
      <c r="AG111" s="14"/>
      <c r="AH111" s="14" t="s">
        <v>483</v>
      </c>
    </row>
    <row r="112" customFormat="false" ht="23.85" hidden="false" customHeight="false" outlineLevel="0" collapsed="false">
      <c r="A112" s="14" t="s">
        <v>1123</v>
      </c>
      <c r="B112" s="14" t="s">
        <v>1124</v>
      </c>
      <c r="C112" s="14" t="s">
        <v>68</v>
      </c>
      <c r="D112" s="14"/>
      <c r="E112" s="14" t="s">
        <v>6</v>
      </c>
      <c r="F112" s="14" t="s">
        <v>1125</v>
      </c>
      <c r="G112" s="15" t="s">
        <v>474</v>
      </c>
      <c r="H112" s="14" t="s">
        <v>475</v>
      </c>
      <c r="I112" s="14" t="s">
        <v>72</v>
      </c>
      <c r="J112" s="14" t="s">
        <v>235</v>
      </c>
      <c r="K112" s="14" t="s">
        <v>73</v>
      </c>
      <c r="L112" s="15" t="s">
        <v>74</v>
      </c>
      <c r="M112" s="14" t="s">
        <v>1126</v>
      </c>
      <c r="N112" s="16" t="s">
        <v>1127</v>
      </c>
      <c r="O112" s="15" t="n">
        <v>5</v>
      </c>
      <c r="P112" s="15" t="n">
        <v>2012</v>
      </c>
      <c r="Q112" s="15" t="n">
        <f aca="false">IFERROR(VLOOKUP(J112,Parametros!$A$5:$B$9,2,FALSE()),0)</f>
        <v>2</v>
      </c>
      <c r="R112" s="15" t="n">
        <f aca="false">IFERROR(VLOOKUP(H112,Parametros!$D$5:$E$23,2,FALSE()),1)</f>
        <v>3</v>
      </c>
      <c r="S112" s="15" t="n">
        <f aca="false">IF(OR(N(O112)&gt;=Parametros!$H$9,AND(N(P112)&gt;0,N(P112)&lt;=Parametros!$H$10)),1,0)</f>
        <v>0</v>
      </c>
      <c r="T112" s="15" t="n">
        <f aca="false">Q112+R112+S112</f>
        <v>5</v>
      </c>
      <c r="U112" s="15" t="str">
        <f aca="false">IF(OR(V112="Inactive",V112="No encontrada",V112="Duplicado"),"Descartada",IF(AND(T112&gt;=Parametros!$H$5,S112=1),"A",IF(T112&gt;=Parametros!$H$6,"B","C")))</f>
        <v>B</v>
      </c>
      <c r="V112" s="17" t="s">
        <v>94</v>
      </c>
      <c r="W112" s="17"/>
      <c r="X112" s="14" t="s">
        <v>1128</v>
      </c>
      <c r="Y112" s="14" t="s">
        <v>1129</v>
      </c>
      <c r="Z112" s="14" t="s">
        <v>1130</v>
      </c>
      <c r="AA112" s="14"/>
      <c r="AB112" s="14"/>
      <c r="AC112" s="14"/>
      <c r="AD112" s="14"/>
      <c r="AE112" s="14" t="s">
        <v>1131</v>
      </c>
      <c r="AF112" s="14"/>
      <c r="AG112" s="14"/>
      <c r="AH112" s="14" t="s">
        <v>585</v>
      </c>
    </row>
    <row r="113" customFormat="false" ht="15" hidden="false" customHeight="false" outlineLevel="0" collapsed="false">
      <c r="A113" s="14" t="s">
        <v>1132</v>
      </c>
      <c r="B113" s="14" t="s">
        <v>1133</v>
      </c>
      <c r="C113" s="14" t="s">
        <v>420</v>
      </c>
      <c r="D113" s="14"/>
      <c r="E113" s="14" t="s">
        <v>6</v>
      </c>
      <c r="F113" s="14" t="s">
        <v>1134</v>
      </c>
      <c r="G113" s="15" t="s">
        <v>474</v>
      </c>
      <c r="H113" s="14" t="s">
        <v>475</v>
      </c>
      <c r="I113" s="14" t="s">
        <v>72</v>
      </c>
      <c r="J113" s="14" t="s">
        <v>148</v>
      </c>
      <c r="K113" s="14" t="s">
        <v>301</v>
      </c>
      <c r="L113" s="15" t="s">
        <v>91</v>
      </c>
      <c r="M113" s="14" t="s">
        <v>1135</v>
      </c>
      <c r="N113" s="16" t="s">
        <v>1136</v>
      </c>
      <c r="O113" s="15" t="n">
        <v>5</v>
      </c>
      <c r="P113" s="15" t="n">
        <v>2010</v>
      </c>
      <c r="Q113" s="15" t="n">
        <f aca="false">IFERROR(VLOOKUP(J113,Parametros!$A$5:$B$9,2,FALSE()),0)</f>
        <v>3</v>
      </c>
      <c r="R113" s="15" t="n">
        <f aca="false">IFERROR(VLOOKUP(H113,Parametros!$D$5:$E$23,2,FALSE()),1)</f>
        <v>3</v>
      </c>
      <c r="S113" s="15" t="n">
        <f aca="false">IF(OR(N(O113)&gt;=Parametros!$H$9,AND(N(P113)&gt;0,N(P113)&lt;=Parametros!$H$10)),1,0)</f>
        <v>0</v>
      </c>
      <c r="T113" s="15" t="n">
        <f aca="false">Q113+R113+S113</f>
        <v>6</v>
      </c>
      <c r="U113" s="15" t="str">
        <f aca="false">IF(OR(V113="Inactive",V113="No encontrada",V113="Duplicado"),"Descartada",IF(AND(T113&gt;=Parametros!$H$5,S113=1),"A",IF(T113&gt;=Parametros!$H$6,"B","C")))</f>
        <v>B</v>
      </c>
      <c r="V113" s="17" t="s">
        <v>94</v>
      </c>
      <c r="W113" s="17"/>
      <c r="X113" s="14" t="s">
        <v>1137</v>
      </c>
      <c r="Y113" s="14" t="s">
        <v>1138</v>
      </c>
      <c r="Z113" s="14" t="s">
        <v>1139</v>
      </c>
      <c r="AA113" s="16" t="s">
        <v>1140</v>
      </c>
      <c r="AB113" s="16" t="s">
        <v>1141</v>
      </c>
      <c r="AC113" s="14"/>
      <c r="AD113" s="14"/>
      <c r="AE113" s="14" t="s">
        <v>1139</v>
      </c>
      <c r="AF113" s="14"/>
      <c r="AG113" s="14" t="s">
        <v>1142</v>
      </c>
      <c r="AH113" s="14" t="s">
        <v>585</v>
      </c>
    </row>
    <row r="114" customFormat="false" ht="15" hidden="false" customHeight="false" outlineLevel="0" collapsed="false">
      <c r="A114" s="14" t="s">
        <v>1143</v>
      </c>
      <c r="B114" s="14" t="s">
        <v>1144</v>
      </c>
      <c r="C114" s="14" t="s">
        <v>563</v>
      </c>
      <c r="D114" s="14"/>
      <c r="E114" s="14" t="s">
        <v>6</v>
      </c>
      <c r="F114" s="14" t="s">
        <v>1145</v>
      </c>
      <c r="G114" s="15" t="s">
        <v>474</v>
      </c>
      <c r="H114" s="14" t="s">
        <v>475</v>
      </c>
      <c r="I114" s="14" t="s">
        <v>72</v>
      </c>
      <c r="J114" s="14" t="s">
        <v>199</v>
      </c>
      <c r="K114" s="14" t="s">
        <v>398</v>
      </c>
      <c r="L114" s="15" t="s">
        <v>91</v>
      </c>
      <c r="M114" s="14" t="s">
        <v>1146</v>
      </c>
      <c r="N114" s="16" t="s">
        <v>1147</v>
      </c>
      <c r="O114" s="15" t="n">
        <v>13</v>
      </c>
      <c r="P114" s="15" t="n">
        <v>1985</v>
      </c>
      <c r="Q114" s="15" t="n">
        <f aca="false">IFERROR(VLOOKUP(J114,Parametros!$A$5:$B$9,2,FALSE()),0)</f>
        <v>1</v>
      </c>
      <c r="R114" s="15" t="n">
        <f aca="false">IFERROR(VLOOKUP(H114,Parametros!$D$5:$E$23,2,FALSE()),1)</f>
        <v>3</v>
      </c>
      <c r="S114" s="15" t="n">
        <f aca="false">IF(OR(N(O114)&gt;=Parametros!$H$9,AND(N(P114)&gt;0,N(P114)&lt;=Parametros!$H$10)),1,0)</f>
        <v>1</v>
      </c>
      <c r="T114" s="15" t="n">
        <f aca="false">Q114+R114+S114</f>
        <v>5</v>
      </c>
      <c r="U114" s="15" t="str">
        <f aca="false">IF(OR(V114="Inactive",V114="No encontrada",V114="Duplicado"),"Descartada",IF(AND(T114&gt;=Parametros!$H$5,S114=1),"A",IF(T114&gt;=Parametros!$H$6,"B","C")))</f>
        <v>B</v>
      </c>
      <c r="V114" s="17" t="s">
        <v>94</v>
      </c>
      <c r="W114" s="17"/>
      <c r="X114" s="14" t="s">
        <v>1148</v>
      </c>
      <c r="Y114" s="14" t="s">
        <v>1149</v>
      </c>
      <c r="Z114" s="14" t="s">
        <v>1150</v>
      </c>
      <c r="AA114" s="14"/>
      <c r="AB114" s="14"/>
      <c r="AC114" s="16" t="s">
        <v>1151</v>
      </c>
      <c r="AD114" s="16" t="s">
        <v>1152</v>
      </c>
      <c r="AE114" s="14" t="s">
        <v>1150</v>
      </c>
      <c r="AF114" s="14"/>
      <c r="AG114" s="14"/>
      <c r="AH114" s="14" t="s">
        <v>585</v>
      </c>
    </row>
    <row r="115" customFormat="false" ht="23.85" hidden="false" customHeight="false" outlineLevel="0" collapsed="false">
      <c r="A115" s="14" t="s">
        <v>1153</v>
      </c>
      <c r="B115" s="14" t="s">
        <v>1154</v>
      </c>
      <c r="C115" s="14" t="s">
        <v>1155</v>
      </c>
      <c r="D115" s="14"/>
      <c r="E115" s="14" t="s">
        <v>9</v>
      </c>
      <c r="F115" s="14" t="s">
        <v>1156</v>
      </c>
      <c r="G115" s="15" t="s">
        <v>474</v>
      </c>
      <c r="H115" s="14" t="s">
        <v>475</v>
      </c>
      <c r="I115" s="14" t="s">
        <v>72</v>
      </c>
      <c r="J115" s="14" t="s">
        <v>235</v>
      </c>
      <c r="K115" s="14" t="s">
        <v>90</v>
      </c>
      <c r="L115" s="15" t="s">
        <v>91</v>
      </c>
      <c r="M115" s="14" t="s">
        <v>1157</v>
      </c>
      <c r="N115" s="16" t="s">
        <v>1158</v>
      </c>
      <c r="O115" s="15"/>
      <c r="P115" s="15" t="n">
        <v>1988</v>
      </c>
      <c r="Q115" s="15" t="n">
        <f aca="false">IFERROR(VLOOKUP(J115,Parametros!$A$5:$B$9,2,FALSE()),0)</f>
        <v>2</v>
      </c>
      <c r="R115" s="15" t="n">
        <f aca="false">IFERROR(VLOOKUP(H115,Parametros!$D$5:$E$23,2,FALSE()),1)</f>
        <v>3</v>
      </c>
      <c r="S115" s="15" t="n">
        <f aca="false">IF(OR(N(O115)&gt;=Parametros!$H$9,AND(N(P115)&gt;0,N(P115)&lt;=Parametros!$H$10)),1,0)</f>
        <v>1</v>
      </c>
      <c r="T115" s="15" t="n">
        <f aca="false">Q115+R115+S115</f>
        <v>6</v>
      </c>
      <c r="U115" s="15" t="str">
        <f aca="false">IF(OR(V115="Inactive",V115="No encontrada",V115="Duplicado"),"Descartada",IF(AND(T115&gt;=Parametros!$H$5,S115=1),"A",IF(T115&gt;=Parametros!$H$6,"B","C")))</f>
        <v>A</v>
      </c>
      <c r="V115" s="17" t="s">
        <v>94</v>
      </c>
      <c r="W115" s="17"/>
      <c r="X115" s="14" t="s">
        <v>1159</v>
      </c>
      <c r="Y115" s="14" t="s">
        <v>1160</v>
      </c>
      <c r="Z115" s="14"/>
      <c r="AA115" s="16" t="s">
        <v>1161</v>
      </c>
      <c r="AB115" s="14"/>
      <c r="AC115" s="14"/>
      <c r="AD115" s="16" t="s">
        <v>1162</v>
      </c>
      <c r="AE115" s="16" t="s">
        <v>1158</v>
      </c>
      <c r="AF115" s="14"/>
      <c r="AG115" s="14" t="s">
        <v>1163</v>
      </c>
      <c r="AH115" s="14" t="s">
        <v>585</v>
      </c>
    </row>
    <row r="116" customFormat="false" ht="23.85" hidden="false" customHeight="false" outlineLevel="0" collapsed="false">
      <c r="A116" s="14" t="s">
        <v>1164</v>
      </c>
      <c r="B116" s="14" t="s">
        <v>1165</v>
      </c>
      <c r="C116" s="14" t="s">
        <v>494</v>
      </c>
      <c r="D116" s="14"/>
      <c r="E116" s="14" t="s">
        <v>6</v>
      </c>
      <c r="F116" s="14" t="s">
        <v>1166</v>
      </c>
      <c r="G116" s="15" t="s">
        <v>474</v>
      </c>
      <c r="H116" s="14" t="s">
        <v>475</v>
      </c>
      <c r="I116" s="14" t="s">
        <v>210</v>
      </c>
      <c r="J116" s="14" t="s">
        <v>235</v>
      </c>
      <c r="K116" s="14" t="s">
        <v>90</v>
      </c>
      <c r="L116" s="15" t="s">
        <v>91</v>
      </c>
      <c r="M116" s="14" t="s">
        <v>1167</v>
      </c>
      <c r="N116" s="16" t="s">
        <v>1168</v>
      </c>
      <c r="O116" s="15" t="n">
        <v>3</v>
      </c>
      <c r="P116" s="15" t="n">
        <v>1995</v>
      </c>
      <c r="Q116" s="15" t="n">
        <f aca="false">IFERROR(VLOOKUP(J116,Parametros!$A$5:$B$9,2,FALSE()),0)</f>
        <v>2</v>
      </c>
      <c r="R116" s="15" t="n">
        <f aca="false">IFERROR(VLOOKUP(H116,Parametros!$D$5:$E$23,2,FALSE()),1)</f>
        <v>3</v>
      </c>
      <c r="S116" s="15" t="n">
        <f aca="false">IF(OR(N(O116)&gt;=Parametros!$H$9,AND(N(P116)&gt;0,N(P116)&lt;=Parametros!$H$10)),1,0)</f>
        <v>1</v>
      </c>
      <c r="T116" s="15" t="n">
        <f aca="false">Q116+R116+S116</f>
        <v>6</v>
      </c>
      <c r="U116" s="15" t="str">
        <f aca="false">IF(OR(V116="Inactive",V116="No encontrada",V116="Duplicado"),"Descartada",IF(AND(T116&gt;=Parametros!$H$5,S116=1),"A",IF(T116&gt;=Parametros!$H$6,"B","C")))</f>
        <v>A</v>
      </c>
      <c r="V116" s="17" t="s">
        <v>94</v>
      </c>
      <c r="W116" s="17"/>
      <c r="X116" s="14" t="s">
        <v>1169</v>
      </c>
      <c r="Y116" s="14" t="s">
        <v>1170</v>
      </c>
      <c r="Z116" s="14"/>
      <c r="AA116" s="16" t="s">
        <v>1171</v>
      </c>
      <c r="AB116" s="14"/>
      <c r="AC116" s="14"/>
      <c r="AD116" s="16" t="s">
        <v>1172</v>
      </c>
      <c r="AE116" s="16" t="s">
        <v>1172</v>
      </c>
      <c r="AF116" s="14"/>
      <c r="AG116" s="14" t="s">
        <v>100</v>
      </c>
      <c r="AH116" s="14" t="s">
        <v>585</v>
      </c>
    </row>
    <row r="117" customFormat="false" ht="15" hidden="false" customHeight="false" outlineLevel="0" collapsed="false">
      <c r="A117" s="14" t="s">
        <v>1173</v>
      </c>
      <c r="B117" s="14" t="s">
        <v>1174</v>
      </c>
      <c r="C117" s="14" t="s">
        <v>68</v>
      </c>
      <c r="D117" s="14"/>
      <c r="E117" s="14" t="s">
        <v>6</v>
      </c>
      <c r="F117" s="14" t="s">
        <v>1175</v>
      </c>
      <c r="G117" s="15" t="s">
        <v>474</v>
      </c>
      <c r="H117" s="14" t="s">
        <v>475</v>
      </c>
      <c r="I117" s="14" t="s">
        <v>72</v>
      </c>
      <c r="J117" s="14" t="s">
        <v>8</v>
      </c>
      <c r="K117" s="14" t="s">
        <v>90</v>
      </c>
      <c r="L117" s="15" t="s">
        <v>91</v>
      </c>
      <c r="M117" s="14" t="s">
        <v>1176</v>
      </c>
      <c r="N117" s="16" t="s">
        <v>1177</v>
      </c>
      <c r="O117" s="15"/>
      <c r="P117" s="15" t="n">
        <v>2011</v>
      </c>
      <c r="Q117" s="15" t="n">
        <f aca="false">IFERROR(VLOOKUP(J117,Parametros!$A$5:$B$9,2,FALSE()),0)</f>
        <v>3</v>
      </c>
      <c r="R117" s="15" t="n">
        <f aca="false">IFERROR(VLOOKUP(H117,Parametros!$D$5:$E$23,2,FALSE()),1)</f>
        <v>3</v>
      </c>
      <c r="S117" s="15" t="n">
        <f aca="false">IF(OR(N(O117)&gt;=Parametros!$H$9,AND(N(P117)&gt;0,N(P117)&lt;=Parametros!$H$10)),1,0)</f>
        <v>0</v>
      </c>
      <c r="T117" s="15" t="n">
        <f aca="false">Q117+R117+S117</f>
        <v>6</v>
      </c>
      <c r="U117" s="15" t="str">
        <f aca="false">IF(OR(V117="Inactive",V117="No encontrada",V117="Duplicado"),"Descartada",IF(AND(T117&gt;=Parametros!$H$5,S117=1),"A",IF(T117&gt;=Parametros!$H$6,"B","C")))</f>
        <v>B</v>
      </c>
      <c r="V117" s="17" t="s">
        <v>94</v>
      </c>
      <c r="W117" s="17"/>
      <c r="X117" s="14" t="s">
        <v>1178</v>
      </c>
      <c r="Y117" s="14" t="s">
        <v>1179</v>
      </c>
      <c r="Z117" s="14"/>
      <c r="AA117" s="16" t="s">
        <v>1180</v>
      </c>
      <c r="AB117" s="14"/>
      <c r="AC117" s="14"/>
      <c r="AD117" s="16" t="s">
        <v>1181</v>
      </c>
      <c r="AE117" s="16" t="s">
        <v>1181</v>
      </c>
      <c r="AF117" s="14"/>
      <c r="AG117" s="14" t="s">
        <v>100</v>
      </c>
      <c r="AH117" s="14" t="s">
        <v>1182</v>
      </c>
    </row>
    <row r="118" customFormat="false" ht="15" hidden="false" customHeight="false" outlineLevel="0" collapsed="false">
      <c r="A118" s="14" t="s">
        <v>1183</v>
      </c>
      <c r="B118" s="14" t="s">
        <v>1184</v>
      </c>
      <c r="C118" s="14" t="s">
        <v>1155</v>
      </c>
      <c r="D118" s="14"/>
      <c r="E118" s="14" t="s">
        <v>9</v>
      </c>
      <c r="F118" s="14" t="s">
        <v>1175</v>
      </c>
      <c r="G118" s="15" t="s">
        <v>474</v>
      </c>
      <c r="H118" s="14" t="s">
        <v>475</v>
      </c>
      <c r="I118" s="14" t="s">
        <v>72</v>
      </c>
      <c r="J118" s="14" t="s">
        <v>8</v>
      </c>
      <c r="K118" s="14" t="s">
        <v>61</v>
      </c>
      <c r="L118" s="15" t="s">
        <v>91</v>
      </c>
      <c r="M118" s="14" t="s">
        <v>1185</v>
      </c>
      <c r="N118" s="16" t="s">
        <v>1186</v>
      </c>
      <c r="O118" s="15"/>
      <c r="P118" s="15" t="n">
        <v>2008</v>
      </c>
      <c r="Q118" s="15" t="n">
        <f aca="false">IFERROR(VLOOKUP(J118,Parametros!$A$5:$B$9,2,FALSE()),0)</f>
        <v>3</v>
      </c>
      <c r="R118" s="15" t="n">
        <f aca="false">IFERROR(VLOOKUP(H118,Parametros!$D$5:$E$23,2,FALSE()),1)</f>
        <v>3</v>
      </c>
      <c r="S118" s="15" t="n">
        <f aca="false">IF(OR(N(O118)&gt;=Parametros!$H$9,AND(N(P118)&gt;0,N(P118)&lt;=Parametros!$H$10)),1,0)</f>
        <v>0</v>
      </c>
      <c r="T118" s="15" t="n">
        <f aca="false">Q118+R118+S118</f>
        <v>6</v>
      </c>
      <c r="U118" s="15" t="str">
        <f aca="false">IF(OR(V118="Inactive",V118="No encontrada",V118="Duplicado"),"Descartada",IF(AND(T118&gt;=Parametros!$H$5,S118=1),"A",IF(T118&gt;=Parametros!$H$6,"B","C")))</f>
        <v>B</v>
      </c>
      <c r="V118" s="17" t="s">
        <v>94</v>
      </c>
      <c r="W118" s="17"/>
      <c r="X118" s="14" t="s">
        <v>1187</v>
      </c>
      <c r="Y118" s="14" t="s">
        <v>1188</v>
      </c>
      <c r="Z118" s="14"/>
      <c r="AA118" s="14"/>
      <c r="AB118" s="14"/>
      <c r="AC118" s="14"/>
      <c r="AD118" s="16" t="s">
        <v>1189</v>
      </c>
      <c r="AE118" s="16" t="s">
        <v>1189</v>
      </c>
      <c r="AF118" s="14"/>
      <c r="AG118" s="14" t="s">
        <v>100</v>
      </c>
      <c r="AH118" s="14" t="s">
        <v>1182</v>
      </c>
    </row>
    <row r="119" customFormat="false" ht="23.85" hidden="false" customHeight="false" outlineLevel="0" collapsed="false">
      <c r="A119" s="14" t="s">
        <v>1190</v>
      </c>
      <c r="B119" s="14" t="s">
        <v>1191</v>
      </c>
      <c r="C119" s="14" t="s">
        <v>563</v>
      </c>
      <c r="D119" s="14"/>
      <c r="E119" s="14" t="s">
        <v>6</v>
      </c>
      <c r="F119" s="14" t="s">
        <v>1175</v>
      </c>
      <c r="G119" s="15" t="s">
        <v>474</v>
      </c>
      <c r="H119" s="14" t="s">
        <v>475</v>
      </c>
      <c r="I119" s="14" t="s">
        <v>210</v>
      </c>
      <c r="J119" s="14" t="s">
        <v>235</v>
      </c>
      <c r="K119" s="14" t="s">
        <v>73</v>
      </c>
      <c r="L119" s="15" t="s">
        <v>74</v>
      </c>
      <c r="M119" s="14" t="s">
        <v>1192</v>
      </c>
      <c r="N119" s="16" t="s">
        <v>1193</v>
      </c>
      <c r="O119" s="15" t="n">
        <v>4</v>
      </c>
      <c r="P119" s="15" t="n">
        <v>2009</v>
      </c>
      <c r="Q119" s="15" t="n">
        <f aca="false">IFERROR(VLOOKUP(J119,Parametros!$A$5:$B$9,2,FALSE()),0)</f>
        <v>2</v>
      </c>
      <c r="R119" s="15" t="n">
        <f aca="false">IFERROR(VLOOKUP(H119,Parametros!$D$5:$E$23,2,FALSE()),1)</f>
        <v>3</v>
      </c>
      <c r="S119" s="15" t="n">
        <f aca="false">IF(OR(N(O119)&gt;=Parametros!$H$9,AND(N(P119)&gt;0,N(P119)&lt;=Parametros!$H$10)),1,0)</f>
        <v>0</v>
      </c>
      <c r="T119" s="15" t="n">
        <f aca="false">Q119+R119+S119</f>
        <v>5</v>
      </c>
      <c r="U119" s="15" t="str">
        <f aca="false">IF(OR(V119="Inactive",V119="No encontrada",V119="Duplicado"),"Descartada",IF(AND(T119&gt;=Parametros!$H$5,S119=1),"A",IF(T119&gt;=Parametros!$H$6,"B","C")))</f>
        <v>B</v>
      </c>
      <c r="V119" s="17" t="s">
        <v>94</v>
      </c>
      <c r="W119" s="17"/>
      <c r="X119" s="14" t="s">
        <v>1194</v>
      </c>
      <c r="Y119" s="14" t="s">
        <v>1195</v>
      </c>
      <c r="Z119" s="14"/>
      <c r="AA119" s="14"/>
      <c r="AB119" s="14"/>
      <c r="AC119" s="14"/>
      <c r="AD119" s="14"/>
      <c r="AE119" s="16" t="s">
        <v>1193</v>
      </c>
      <c r="AF119" s="14"/>
      <c r="AG119" s="14" t="s">
        <v>1196</v>
      </c>
      <c r="AH119" s="14" t="s">
        <v>1182</v>
      </c>
    </row>
    <row r="120" customFormat="false" ht="15" hidden="false" customHeight="false" outlineLevel="0" collapsed="false">
      <c r="A120" s="14" t="s">
        <v>1197</v>
      </c>
      <c r="B120" s="14" t="s">
        <v>1198</v>
      </c>
      <c r="C120" s="14" t="s">
        <v>68</v>
      </c>
      <c r="D120" s="14"/>
      <c r="E120" s="14" t="s">
        <v>6</v>
      </c>
      <c r="F120" s="14" t="s">
        <v>1199</v>
      </c>
      <c r="G120" s="15" t="s">
        <v>1200</v>
      </c>
      <c r="H120" s="14" t="s">
        <v>1201</v>
      </c>
      <c r="I120" s="14" t="s">
        <v>72</v>
      </c>
      <c r="J120" s="14" t="s">
        <v>8</v>
      </c>
      <c r="K120" s="14" t="s">
        <v>61</v>
      </c>
      <c r="L120" s="15" t="s">
        <v>91</v>
      </c>
      <c r="M120" s="14" t="s">
        <v>1202</v>
      </c>
      <c r="N120" s="16" t="s">
        <v>1203</v>
      </c>
      <c r="O120" s="15" t="n">
        <v>3</v>
      </c>
      <c r="P120" s="15" t="n">
        <v>1979</v>
      </c>
      <c r="Q120" s="15" t="n">
        <f aca="false">IFERROR(VLOOKUP(J120,Parametros!$A$5:$B$9,2,FALSE()),0)</f>
        <v>3</v>
      </c>
      <c r="R120" s="15" t="n">
        <f aca="false">IFERROR(VLOOKUP(H120,Parametros!$D$5:$E$23,2,FALSE()),1)</f>
        <v>3</v>
      </c>
      <c r="S120" s="15" t="n">
        <f aca="false">IF(OR(N(O120)&gt;=Parametros!$H$9,AND(N(P120)&gt;0,N(P120)&lt;=Parametros!$H$10)),1,0)</f>
        <v>1</v>
      </c>
      <c r="T120" s="15" t="n">
        <f aca="false">Q120+R120+S120</f>
        <v>7</v>
      </c>
      <c r="U120" s="15" t="str">
        <f aca="false">IF(OR(V120="Inactive",V120="No encontrada",V120="Duplicado"),"Descartada",IF(AND(T120&gt;=Parametros!$H$5,S120=1),"A",IF(T120&gt;=Parametros!$H$6,"B","C")))</f>
        <v>A</v>
      </c>
      <c r="V120" s="17" t="s">
        <v>94</v>
      </c>
      <c r="W120" s="17"/>
      <c r="X120" s="14" t="s">
        <v>1204</v>
      </c>
      <c r="Y120" s="14" t="s">
        <v>1205</v>
      </c>
      <c r="Z120" s="14"/>
      <c r="AA120" s="14"/>
      <c r="AB120" s="14"/>
      <c r="AC120" s="14"/>
      <c r="AD120" s="16" t="s">
        <v>1206</v>
      </c>
      <c r="AE120" s="16" t="s">
        <v>1206</v>
      </c>
      <c r="AF120" s="14"/>
      <c r="AG120" s="14" t="s">
        <v>100</v>
      </c>
      <c r="AH120" s="14" t="s">
        <v>1207</v>
      </c>
    </row>
    <row r="121" customFormat="false" ht="23.85" hidden="false" customHeight="false" outlineLevel="0" collapsed="false">
      <c r="A121" s="14" t="s">
        <v>1208</v>
      </c>
      <c r="B121" s="14" t="s">
        <v>1209</v>
      </c>
      <c r="C121" s="14" t="s">
        <v>68</v>
      </c>
      <c r="D121" s="14"/>
      <c r="E121" s="14" t="s">
        <v>6</v>
      </c>
      <c r="F121" s="14" t="s">
        <v>1199</v>
      </c>
      <c r="G121" s="15" t="s">
        <v>1200</v>
      </c>
      <c r="H121" s="14" t="s">
        <v>1201</v>
      </c>
      <c r="I121" s="14" t="s">
        <v>72</v>
      </c>
      <c r="J121" s="14" t="s">
        <v>235</v>
      </c>
      <c r="K121" s="14" t="s">
        <v>61</v>
      </c>
      <c r="L121" s="15" t="s">
        <v>91</v>
      </c>
      <c r="M121" s="14" t="s">
        <v>1210</v>
      </c>
      <c r="N121" s="16" t="s">
        <v>1211</v>
      </c>
      <c r="O121" s="15" t="n">
        <v>5</v>
      </c>
      <c r="P121" s="15" t="n">
        <v>1994</v>
      </c>
      <c r="Q121" s="15" t="n">
        <f aca="false">IFERROR(VLOOKUP(J121,Parametros!$A$5:$B$9,2,FALSE()),0)</f>
        <v>2</v>
      </c>
      <c r="R121" s="15" t="n">
        <f aca="false">IFERROR(VLOOKUP(H121,Parametros!$D$5:$E$23,2,FALSE()),1)</f>
        <v>3</v>
      </c>
      <c r="S121" s="15" t="n">
        <f aca="false">IF(OR(N(O121)&gt;=Parametros!$H$9,AND(N(P121)&gt;0,N(P121)&lt;=Parametros!$H$10)),1,0)</f>
        <v>1</v>
      </c>
      <c r="T121" s="15" t="n">
        <f aca="false">Q121+R121+S121</f>
        <v>6</v>
      </c>
      <c r="U121" s="15" t="str">
        <f aca="false">IF(OR(V121="Inactive",V121="No encontrada",V121="Duplicado"),"Descartada",IF(AND(T121&gt;=Parametros!$H$5,S121=1),"A",IF(T121&gt;=Parametros!$H$6,"B","C")))</f>
        <v>A</v>
      </c>
      <c r="V121" s="17" t="s">
        <v>94</v>
      </c>
      <c r="W121" s="17"/>
      <c r="X121" s="14" t="s">
        <v>1212</v>
      </c>
      <c r="Y121" s="14" t="s">
        <v>1213</v>
      </c>
      <c r="Z121" s="14" t="s">
        <v>1214</v>
      </c>
      <c r="AA121" s="14"/>
      <c r="AB121" s="14"/>
      <c r="AC121" s="14"/>
      <c r="AD121" s="16" t="s">
        <v>1215</v>
      </c>
      <c r="AE121" s="16" t="s">
        <v>1211</v>
      </c>
      <c r="AF121" s="14"/>
      <c r="AG121" s="14" t="s">
        <v>1216</v>
      </c>
      <c r="AH121" s="14" t="s">
        <v>1207</v>
      </c>
    </row>
    <row r="122" customFormat="false" ht="15" hidden="false" customHeight="false" outlineLevel="0" collapsed="false">
      <c r="A122" s="14" t="s">
        <v>1217</v>
      </c>
      <c r="B122" s="14" t="s">
        <v>1218</v>
      </c>
      <c r="C122" s="14" t="s">
        <v>68</v>
      </c>
      <c r="D122" s="14"/>
      <c r="E122" s="14" t="s">
        <v>6</v>
      </c>
      <c r="F122" s="14" t="s">
        <v>1219</v>
      </c>
      <c r="G122" s="15" t="s">
        <v>1200</v>
      </c>
      <c r="H122" s="14" t="s">
        <v>1201</v>
      </c>
      <c r="I122" s="14" t="s">
        <v>89</v>
      </c>
      <c r="J122" s="14" t="s">
        <v>8</v>
      </c>
      <c r="K122" s="14" t="s">
        <v>73</v>
      </c>
      <c r="L122" s="15" t="s">
        <v>74</v>
      </c>
      <c r="M122" s="14" t="s">
        <v>1220</v>
      </c>
      <c r="N122" s="16" t="s">
        <v>1221</v>
      </c>
      <c r="O122" s="15"/>
      <c r="P122" s="15" t="n">
        <v>2010</v>
      </c>
      <c r="Q122" s="15" t="n">
        <f aca="false">IFERROR(VLOOKUP(J122,Parametros!$A$5:$B$9,2,FALSE()),0)</f>
        <v>3</v>
      </c>
      <c r="R122" s="15" t="n">
        <f aca="false">IFERROR(VLOOKUP(H122,Parametros!$D$5:$E$23,2,FALSE()),1)</f>
        <v>3</v>
      </c>
      <c r="S122" s="15" t="n">
        <f aca="false">IF(OR(N(O122)&gt;=Parametros!$H$9,AND(N(P122)&gt;0,N(P122)&lt;=Parametros!$H$10)),1,0)</f>
        <v>0</v>
      </c>
      <c r="T122" s="15" t="n">
        <f aca="false">Q122+R122+S122</f>
        <v>6</v>
      </c>
      <c r="U122" s="15" t="str">
        <f aca="false">IF(OR(V122="Inactive",V122="No encontrada",V122="Duplicado"),"Descartada",IF(AND(T122&gt;=Parametros!$H$5,S122=1),"A",IF(T122&gt;=Parametros!$H$6,"B","C")))</f>
        <v>B</v>
      </c>
      <c r="V122" s="17" t="s">
        <v>94</v>
      </c>
      <c r="W122" s="17"/>
      <c r="X122" s="14" t="s">
        <v>1222</v>
      </c>
      <c r="Y122" s="14" t="s">
        <v>1223</v>
      </c>
      <c r="Z122" s="14"/>
      <c r="AA122" s="14"/>
      <c r="AB122" s="14"/>
      <c r="AC122" s="14"/>
      <c r="AD122" s="14"/>
      <c r="AE122" s="16" t="s">
        <v>1221</v>
      </c>
      <c r="AF122" s="14"/>
      <c r="AG122" s="14" t="s">
        <v>100</v>
      </c>
      <c r="AH122" s="14" t="s">
        <v>1207</v>
      </c>
    </row>
    <row r="123" customFormat="false" ht="15" hidden="false" customHeight="false" outlineLevel="0" collapsed="false">
      <c r="A123" s="14" t="s">
        <v>1224</v>
      </c>
      <c r="B123" s="14" t="s">
        <v>1225</v>
      </c>
      <c r="C123" s="14" t="s">
        <v>68</v>
      </c>
      <c r="D123" s="14"/>
      <c r="E123" s="14" t="s">
        <v>6</v>
      </c>
      <c r="F123" s="14" t="s">
        <v>1219</v>
      </c>
      <c r="G123" s="15" t="s">
        <v>1200</v>
      </c>
      <c r="H123" s="14" t="s">
        <v>1201</v>
      </c>
      <c r="I123" s="14" t="s">
        <v>72</v>
      </c>
      <c r="J123" s="14" t="s">
        <v>235</v>
      </c>
      <c r="K123" s="14" t="s">
        <v>1226</v>
      </c>
      <c r="L123" s="15" t="s">
        <v>91</v>
      </c>
      <c r="M123" s="14" t="s">
        <v>1227</v>
      </c>
      <c r="N123" s="16" t="s">
        <v>1228</v>
      </c>
      <c r="O123" s="15"/>
      <c r="P123" s="15" t="n">
        <v>2015</v>
      </c>
      <c r="Q123" s="15" t="n">
        <f aca="false">IFERROR(VLOOKUP(J123,Parametros!$A$5:$B$9,2,FALSE()),0)</f>
        <v>2</v>
      </c>
      <c r="R123" s="15" t="n">
        <f aca="false">IFERROR(VLOOKUP(H123,Parametros!$D$5:$E$23,2,FALSE()),1)</f>
        <v>3</v>
      </c>
      <c r="S123" s="15" t="n">
        <f aca="false">IF(OR(N(O123)&gt;=Parametros!$H$9,AND(N(P123)&gt;0,N(P123)&lt;=Parametros!$H$10)),1,0)</f>
        <v>0</v>
      </c>
      <c r="T123" s="15" t="n">
        <f aca="false">Q123+R123+S123</f>
        <v>5</v>
      </c>
      <c r="U123" s="15" t="str">
        <f aca="false">IF(OR(V123="Inactive",V123="No encontrada",V123="Duplicado"),"Descartada",IF(AND(T123&gt;=Parametros!$H$5,S123=1),"A",IF(T123&gt;=Parametros!$H$6,"B","C")))</f>
        <v>B</v>
      </c>
      <c r="V123" s="17" t="s">
        <v>94</v>
      </c>
      <c r="W123" s="17"/>
      <c r="X123" s="14" t="s">
        <v>1229</v>
      </c>
      <c r="Y123" s="14" t="s">
        <v>1230</v>
      </c>
      <c r="Z123" s="14" t="s">
        <v>1231</v>
      </c>
      <c r="AA123" s="14"/>
      <c r="AB123" s="16" t="s">
        <v>1232</v>
      </c>
      <c r="AC123" s="14"/>
      <c r="AD123" s="16" t="s">
        <v>1233</v>
      </c>
      <c r="AE123" s="14" t="s">
        <v>1231</v>
      </c>
      <c r="AF123" s="14"/>
      <c r="AG123" s="14" t="s">
        <v>1234</v>
      </c>
      <c r="AH123" s="14" t="s">
        <v>1207</v>
      </c>
    </row>
    <row r="124" customFormat="false" ht="23.85" hidden="false" customHeight="false" outlineLevel="0" collapsed="false">
      <c r="A124" s="14" t="s">
        <v>1235</v>
      </c>
      <c r="B124" s="14" t="s">
        <v>1236</v>
      </c>
      <c r="C124" s="14" t="s">
        <v>494</v>
      </c>
      <c r="D124" s="14"/>
      <c r="E124" s="14" t="s">
        <v>6</v>
      </c>
      <c r="F124" s="14" t="s">
        <v>1219</v>
      </c>
      <c r="G124" s="15" t="s">
        <v>1200</v>
      </c>
      <c r="H124" s="14" t="s">
        <v>1201</v>
      </c>
      <c r="I124" s="14" t="s">
        <v>72</v>
      </c>
      <c r="J124" s="14" t="s">
        <v>235</v>
      </c>
      <c r="K124" s="14" t="s">
        <v>61</v>
      </c>
      <c r="L124" s="15" t="s">
        <v>91</v>
      </c>
      <c r="M124" s="14" t="s">
        <v>1237</v>
      </c>
      <c r="N124" s="16" t="s">
        <v>1238</v>
      </c>
      <c r="O124" s="15"/>
      <c r="P124" s="15"/>
      <c r="Q124" s="15" t="n">
        <f aca="false">IFERROR(VLOOKUP(J124,Parametros!$A$5:$B$9,2,FALSE()),0)</f>
        <v>2</v>
      </c>
      <c r="R124" s="15" t="n">
        <f aca="false">IFERROR(VLOOKUP(H124,Parametros!$D$5:$E$23,2,FALSE()),1)</f>
        <v>3</v>
      </c>
      <c r="S124" s="15" t="n">
        <f aca="false">IF(OR(N(O124)&gt;=Parametros!$H$9,AND(N(P124)&gt;0,N(P124)&lt;=Parametros!$H$10)),1,0)</f>
        <v>0</v>
      </c>
      <c r="T124" s="15" t="n">
        <f aca="false">Q124+R124+S124</f>
        <v>5</v>
      </c>
      <c r="U124" s="15" t="str">
        <f aca="false">IF(OR(V124="Inactive",V124="No encontrada",V124="Duplicado"),"Descartada",IF(AND(T124&gt;=Parametros!$H$5,S124=1),"A",IF(T124&gt;=Parametros!$H$6,"B","C")))</f>
        <v>B</v>
      </c>
      <c r="V124" s="17" t="s">
        <v>94</v>
      </c>
      <c r="W124" s="17"/>
      <c r="X124" s="14" t="s">
        <v>1239</v>
      </c>
      <c r="Y124" s="14" t="s">
        <v>1240</v>
      </c>
      <c r="Z124" s="14"/>
      <c r="AA124" s="14"/>
      <c r="AB124" s="14"/>
      <c r="AC124" s="14"/>
      <c r="AD124" s="16" t="s">
        <v>1241</v>
      </c>
      <c r="AE124" s="16" t="s">
        <v>1238</v>
      </c>
      <c r="AF124" s="14" t="s">
        <v>452</v>
      </c>
      <c r="AG124" s="14" t="s">
        <v>1242</v>
      </c>
      <c r="AH124" s="14" t="s">
        <v>1207</v>
      </c>
    </row>
    <row r="125" customFormat="false" ht="15" hidden="false" customHeight="false" outlineLevel="0" collapsed="false">
      <c r="A125" s="14" t="s">
        <v>1243</v>
      </c>
      <c r="B125" s="14" t="s">
        <v>1244</v>
      </c>
      <c r="C125" s="14" t="s">
        <v>670</v>
      </c>
      <c r="D125" s="14"/>
      <c r="E125" s="14" t="s">
        <v>9</v>
      </c>
      <c r="F125" s="14" t="s">
        <v>1219</v>
      </c>
      <c r="G125" s="15" t="s">
        <v>1200</v>
      </c>
      <c r="H125" s="14" t="s">
        <v>1201</v>
      </c>
      <c r="I125" s="14" t="s">
        <v>72</v>
      </c>
      <c r="J125" s="14" t="s">
        <v>8</v>
      </c>
      <c r="K125" s="14" t="s">
        <v>61</v>
      </c>
      <c r="L125" s="15" t="s">
        <v>91</v>
      </c>
      <c r="M125" s="14" t="s">
        <v>1245</v>
      </c>
      <c r="N125" s="16" t="s">
        <v>1246</v>
      </c>
      <c r="O125" s="15" t="n">
        <v>3</v>
      </c>
      <c r="P125" s="15" t="n">
        <v>2007</v>
      </c>
      <c r="Q125" s="15" t="n">
        <f aca="false">IFERROR(VLOOKUP(J125,Parametros!$A$5:$B$9,2,FALSE()),0)</f>
        <v>3</v>
      </c>
      <c r="R125" s="15" t="n">
        <f aca="false">IFERROR(VLOOKUP(H125,Parametros!$D$5:$E$23,2,FALSE()),1)</f>
        <v>3</v>
      </c>
      <c r="S125" s="15" t="n">
        <f aca="false">IF(OR(N(O125)&gt;=Parametros!$H$9,AND(N(P125)&gt;0,N(P125)&lt;=Parametros!$H$10)),1,0)</f>
        <v>0</v>
      </c>
      <c r="T125" s="15" t="n">
        <f aca="false">Q125+R125+S125</f>
        <v>6</v>
      </c>
      <c r="U125" s="15" t="str">
        <f aca="false">IF(OR(V125="Inactive",V125="No encontrada",V125="Duplicado"),"Descartada",IF(AND(T125&gt;=Parametros!$H$5,S125=1),"A",IF(T125&gt;=Parametros!$H$6,"B","C")))</f>
        <v>B</v>
      </c>
      <c r="V125" s="17" t="s">
        <v>94</v>
      </c>
      <c r="W125" s="17"/>
      <c r="X125" s="14" t="s">
        <v>1247</v>
      </c>
      <c r="Y125" s="14" t="s">
        <v>1248</v>
      </c>
      <c r="Z125" s="14"/>
      <c r="AA125" s="14"/>
      <c r="AB125" s="14"/>
      <c r="AC125" s="14"/>
      <c r="AD125" s="16" t="s">
        <v>1249</v>
      </c>
      <c r="AE125" s="16" t="s">
        <v>1249</v>
      </c>
      <c r="AF125" s="14"/>
      <c r="AG125" s="14" t="s">
        <v>100</v>
      </c>
      <c r="AH125" s="14" t="s">
        <v>1207</v>
      </c>
    </row>
    <row r="126" customFormat="false" ht="15" hidden="false" customHeight="false" outlineLevel="0" collapsed="false">
      <c r="A126" s="14" t="s">
        <v>1250</v>
      </c>
      <c r="B126" s="14" t="s">
        <v>1251</v>
      </c>
      <c r="C126" s="14" t="s">
        <v>1025</v>
      </c>
      <c r="D126" s="14"/>
      <c r="E126" s="14" t="s">
        <v>9</v>
      </c>
      <c r="F126" s="14" t="s">
        <v>1219</v>
      </c>
      <c r="G126" s="15" t="s">
        <v>1200</v>
      </c>
      <c r="H126" s="14" t="s">
        <v>1201</v>
      </c>
      <c r="I126" s="14" t="s">
        <v>89</v>
      </c>
      <c r="J126" s="14" t="s">
        <v>235</v>
      </c>
      <c r="K126" s="14" t="s">
        <v>90</v>
      </c>
      <c r="L126" s="15" t="s">
        <v>91</v>
      </c>
      <c r="M126" s="14" t="s">
        <v>1252</v>
      </c>
      <c r="N126" s="16" t="s">
        <v>1253</v>
      </c>
      <c r="O126" s="15"/>
      <c r="P126" s="15" t="n">
        <v>2012</v>
      </c>
      <c r="Q126" s="15" t="n">
        <f aca="false">IFERROR(VLOOKUP(J126,Parametros!$A$5:$B$9,2,FALSE()),0)</f>
        <v>2</v>
      </c>
      <c r="R126" s="15" t="n">
        <f aca="false">IFERROR(VLOOKUP(H126,Parametros!$D$5:$E$23,2,FALSE()),1)</f>
        <v>3</v>
      </c>
      <c r="S126" s="15" t="n">
        <f aca="false">IF(OR(N(O126)&gt;=Parametros!$H$9,AND(N(P126)&gt;0,N(P126)&lt;=Parametros!$H$10)),1,0)</f>
        <v>0</v>
      </c>
      <c r="T126" s="15" t="n">
        <f aca="false">Q126+R126+S126</f>
        <v>5</v>
      </c>
      <c r="U126" s="15" t="str">
        <f aca="false">IF(OR(V126="Inactive",V126="No encontrada",V126="Duplicado"),"Descartada",IF(AND(T126&gt;=Parametros!$H$5,S126=1),"A",IF(T126&gt;=Parametros!$H$6,"B","C")))</f>
        <v>B</v>
      </c>
      <c r="V126" s="17" t="s">
        <v>94</v>
      </c>
      <c r="W126" s="17"/>
      <c r="X126" s="14" t="s">
        <v>1254</v>
      </c>
      <c r="Y126" s="14" t="s">
        <v>1255</v>
      </c>
      <c r="Z126" s="14"/>
      <c r="AA126" s="16" t="s">
        <v>1256</v>
      </c>
      <c r="AB126" s="14"/>
      <c r="AC126" s="14"/>
      <c r="AD126" s="16" t="s">
        <v>1257</v>
      </c>
      <c r="AE126" s="16" t="s">
        <v>1257</v>
      </c>
      <c r="AF126" s="14"/>
      <c r="AG126" s="14" t="s">
        <v>100</v>
      </c>
      <c r="AH126" s="14" t="s">
        <v>1207</v>
      </c>
    </row>
    <row r="127" customFormat="false" ht="15" hidden="false" customHeight="false" outlineLevel="0" collapsed="false">
      <c r="A127" s="14" t="s">
        <v>1258</v>
      </c>
      <c r="B127" s="14" t="s">
        <v>1259</v>
      </c>
      <c r="C127" s="14" t="s">
        <v>658</v>
      </c>
      <c r="D127" s="14"/>
      <c r="E127" s="14" t="s">
        <v>6</v>
      </c>
      <c r="F127" s="14" t="s">
        <v>1260</v>
      </c>
      <c r="G127" s="15" t="s">
        <v>1200</v>
      </c>
      <c r="H127" s="14" t="s">
        <v>1201</v>
      </c>
      <c r="I127" s="14" t="s">
        <v>72</v>
      </c>
      <c r="J127" s="14" t="s">
        <v>235</v>
      </c>
      <c r="K127" s="14" t="s">
        <v>90</v>
      </c>
      <c r="L127" s="15" t="s">
        <v>91</v>
      </c>
      <c r="M127" s="14" t="s">
        <v>1261</v>
      </c>
      <c r="N127" s="16" t="s">
        <v>1262</v>
      </c>
      <c r="O127" s="15" t="n">
        <v>3</v>
      </c>
      <c r="P127" s="15" t="n">
        <v>2011</v>
      </c>
      <c r="Q127" s="15" t="n">
        <f aca="false">IFERROR(VLOOKUP(J127,Parametros!$A$5:$B$9,2,FALSE()),0)</f>
        <v>2</v>
      </c>
      <c r="R127" s="15" t="n">
        <f aca="false">IFERROR(VLOOKUP(H127,Parametros!$D$5:$E$23,2,FALSE()),1)</f>
        <v>3</v>
      </c>
      <c r="S127" s="15" t="n">
        <f aca="false">IF(OR(N(O127)&gt;=Parametros!$H$9,AND(N(P127)&gt;0,N(P127)&lt;=Parametros!$H$10)),1,0)</f>
        <v>0</v>
      </c>
      <c r="T127" s="15" t="n">
        <f aca="false">Q127+R127+S127</f>
        <v>5</v>
      </c>
      <c r="U127" s="15" t="str">
        <f aca="false">IF(OR(V127="Inactive",V127="No encontrada",V127="Duplicado"),"Descartada",IF(AND(T127&gt;=Parametros!$H$5,S127=1),"A",IF(T127&gt;=Parametros!$H$6,"B","C")))</f>
        <v>B</v>
      </c>
      <c r="V127" s="17" t="s">
        <v>94</v>
      </c>
      <c r="W127" s="17"/>
      <c r="X127" s="14" t="s">
        <v>1263</v>
      </c>
      <c r="Y127" s="14" t="s">
        <v>1264</v>
      </c>
      <c r="Z127" s="14" t="s">
        <v>1265</v>
      </c>
      <c r="AA127" s="16" t="s">
        <v>1266</v>
      </c>
      <c r="AB127" s="14"/>
      <c r="AC127" s="14"/>
      <c r="AD127" s="16" t="s">
        <v>1267</v>
      </c>
      <c r="AE127" s="16" t="s">
        <v>1262</v>
      </c>
      <c r="AF127" s="14"/>
      <c r="AG127" s="14"/>
      <c r="AH127" s="14" t="s">
        <v>1207</v>
      </c>
    </row>
    <row r="128" customFormat="false" ht="15" hidden="false" customHeight="false" outlineLevel="0" collapsed="false">
      <c r="A128" s="14" t="s">
        <v>1268</v>
      </c>
      <c r="B128" s="14" t="s">
        <v>1269</v>
      </c>
      <c r="C128" s="14" t="s">
        <v>420</v>
      </c>
      <c r="D128" s="14"/>
      <c r="E128" s="14" t="s">
        <v>6</v>
      </c>
      <c r="F128" s="14" t="s">
        <v>1270</v>
      </c>
      <c r="G128" s="15" t="s">
        <v>1200</v>
      </c>
      <c r="H128" s="14" t="s">
        <v>1201</v>
      </c>
      <c r="I128" s="14" t="s">
        <v>210</v>
      </c>
      <c r="J128" s="14" t="s">
        <v>8</v>
      </c>
      <c r="K128" s="14" t="s">
        <v>61</v>
      </c>
      <c r="L128" s="15" t="s">
        <v>91</v>
      </c>
      <c r="M128" s="14" t="s">
        <v>1271</v>
      </c>
      <c r="N128" s="16" t="s">
        <v>1272</v>
      </c>
      <c r="O128" s="15" t="n">
        <v>20</v>
      </c>
      <c r="P128" s="15" t="n">
        <v>2011</v>
      </c>
      <c r="Q128" s="15" t="n">
        <f aca="false">IFERROR(VLOOKUP(J128,Parametros!$A$5:$B$9,2,FALSE()),0)</f>
        <v>3</v>
      </c>
      <c r="R128" s="15" t="n">
        <f aca="false">IFERROR(VLOOKUP(H128,Parametros!$D$5:$E$23,2,FALSE()),1)</f>
        <v>3</v>
      </c>
      <c r="S128" s="15" t="n">
        <f aca="false">IF(OR(N(O128)&gt;=Parametros!$H$9,AND(N(P128)&gt;0,N(P128)&lt;=Parametros!$H$10)),1,0)</f>
        <v>1</v>
      </c>
      <c r="T128" s="15" t="n">
        <f aca="false">Q128+R128+S128</f>
        <v>7</v>
      </c>
      <c r="U128" s="15" t="str">
        <f aca="false">IF(OR(V128="Inactive",V128="No encontrada",V128="Duplicado"),"Descartada",IF(AND(T128&gt;=Parametros!$H$5,S128=1),"A",IF(T128&gt;=Parametros!$H$6,"B","C")))</f>
        <v>A</v>
      </c>
      <c r="V128" s="17" t="s">
        <v>94</v>
      </c>
      <c r="W128" s="17"/>
      <c r="X128" s="14" t="s">
        <v>1273</v>
      </c>
      <c r="Y128" s="14" t="s">
        <v>1274</v>
      </c>
      <c r="Z128" s="14"/>
      <c r="AA128" s="14"/>
      <c r="AB128" s="14"/>
      <c r="AC128" s="14"/>
      <c r="AD128" s="16" t="s">
        <v>1275</v>
      </c>
      <c r="AE128" s="16" t="s">
        <v>1272</v>
      </c>
      <c r="AF128" s="14"/>
      <c r="AG128" s="14" t="s">
        <v>100</v>
      </c>
      <c r="AH128" s="14" t="s">
        <v>1207</v>
      </c>
    </row>
    <row r="129" customFormat="false" ht="15" hidden="false" customHeight="false" outlineLevel="0" collapsed="false">
      <c r="A129" s="14" t="s">
        <v>1276</v>
      </c>
      <c r="B129" s="14" t="s">
        <v>1277</v>
      </c>
      <c r="C129" s="14" t="s">
        <v>1155</v>
      </c>
      <c r="D129" s="14"/>
      <c r="E129" s="14" t="s">
        <v>9</v>
      </c>
      <c r="F129" s="14" t="s">
        <v>1270</v>
      </c>
      <c r="G129" s="15" t="s">
        <v>1200</v>
      </c>
      <c r="H129" s="14" t="s">
        <v>1201</v>
      </c>
      <c r="I129" s="14" t="s">
        <v>72</v>
      </c>
      <c r="J129" s="14" t="s">
        <v>235</v>
      </c>
      <c r="K129" s="14" t="s">
        <v>61</v>
      </c>
      <c r="L129" s="15" t="s">
        <v>91</v>
      </c>
      <c r="M129" s="14" t="s">
        <v>1278</v>
      </c>
      <c r="N129" s="16" t="s">
        <v>1279</v>
      </c>
      <c r="O129" s="15" t="n">
        <v>6</v>
      </c>
      <c r="P129" s="15" t="n">
        <v>1997</v>
      </c>
      <c r="Q129" s="15" t="n">
        <f aca="false">IFERROR(VLOOKUP(J129,Parametros!$A$5:$B$9,2,FALSE()),0)</f>
        <v>2</v>
      </c>
      <c r="R129" s="15" t="n">
        <f aca="false">IFERROR(VLOOKUP(H129,Parametros!$D$5:$E$23,2,FALSE()),1)</f>
        <v>3</v>
      </c>
      <c r="S129" s="15" t="n">
        <f aca="false">IF(OR(N(O129)&gt;=Parametros!$H$9,AND(N(P129)&gt;0,N(P129)&lt;=Parametros!$H$10)),1,0)</f>
        <v>1</v>
      </c>
      <c r="T129" s="15" t="n">
        <f aca="false">Q129+R129+S129</f>
        <v>6</v>
      </c>
      <c r="U129" s="15" t="str">
        <f aca="false">IF(OR(V129="Inactive",V129="No encontrada",V129="Duplicado"),"Descartada",IF(AND(T129&gt;=Parametros!$H$5,S129=1),"A",IF(T129&gt;=Parametros!$H$6,"B","C")))</f>
        <v>A</v>
      </c>
      <c r="V129" s="17" t="s">
        <v>94</v>
      </c>
      <c r="W129" s="17"/>
      <c r="X129" s="14" t="s">
        <v>1280</v>
      </c>
      <c r="Y129" s="14" t="s">
        <v>1281</v>
      </c>
      <c r="Z129" s="14" t="s">
        <v>1282</v>
      </c>
      <c r="AA129" s="14"/>
      <c r="AB129" s="14"/>
      <c r="AC129" s="14"/>
      <c r="AD129" s="16" t="s">
        <v>1283</v>
      </c>
      <c r="AE129" s="14" t="s">
        <v>1282</v>
      </c>
      <c r="AF129" s="14"/>
      <c r="AG129" s="14"/>
      <c r="AH129" s="14" t="s">
        <v>1207</v>
      </c>
    </row>
    <row r="130" customFormat="false" ht="15" hidden="false" customHeight="false" outlineLevel="0" collapsed="false">
      <c r="A130" s="14" t="s">
        <v>1284</v>
      </c>
      <c r="B130" s="14" t="s">
        <v>1285</v>
      </c>
      <c r="C130" s="14" t="s">
        <v>68</v>
      </c>
      <c r="D130" s="14"/>
      <c r="E130" s="14" t="s">
        <v>6</v>
      </c>
      <c r="F130" s="14" t="s">
        <v>1286</v>
      </c>
      <c r="G130" s="15" t="s">
        <v>1200</v>
      </c>
      <c r="H130" s="14" t="s">
        <v>1201</v>
      </c>
      <c r="I130" s="14" t="s">
        <v>72</v>
      </c>
      <c r="J130" s="14" t="s">
        <v>235</v>
      </c>
      <c r="K130" s="14" t="s">
        <v>398</v>
      </c>
      <c r="L130" s="15" t="s">
        <v>91</v>
      </c>
      <c r="M130" s="14" t="s">
        <v>1287</v>
      </c>
      <c r="N130" s="16" t="s">
        <v>1288</v>
      </c>
      <c r="O130" s="15"/>
      <c r="P130" s="15" t="n">
        <v>1985</v>
      </c>
      <c r="Q130" s="15" t="n">
        <f aca="false">IFERROR(VLOOKUP(J130,Parametros!$A$5:$B$9,2,FALSE()),0)</f>
        <v>2</v>
      </c>
      <c r="R130" s="15" t="n">
        <f aca="false">IFERROR(VLOOKUP(H130,Parametros!$D$5:$E$23,2,FALSE()),1)</f>
        <v>3</v>
      </c>
      <c r="S130" s="15" t="n">
        <f aca="false">IF(OR(N(O130)&gt;=Parametros!$H$9,AND(N(P130)&gt;0,N(P130)&lt;=Parametros!$H$10)),1,0)</f>
        <v>1</v>
      </c>
      <c r="T130" s="15" t="n">
        <f aca="false">Q130+R130+S130</f>
        <v>6</v>
      </c>
      <c r="U130" s="15" t="str">
        <f aca="false">IF(OR(V130="Inactive",V130="No encontrada",V130="Duplicado"),"Descartada",IF(AND(T130&gt;=Parametros!$H$5,S130=1),"A",IF(T130&gt;=Parametros!$H$6,"B","C")))</f>
        <v>A</v>
      </c>
      <c r="V130" s="17" t="s">
        <v>94</v>
      </c>
      <c r="W130" s="17"/>
      <c r="X130" s="14" t="s">
        <v>1289</v>
      </c>
      <c r="Y130" s="14" t="s">
        <v>1290</v>
      </c>
      <c r="Z130" s="14"/>
      <c r="AA130" s="14"/>
      <c r="AB130" s="14"/>
      <c r="AC130" s="16" t="s">
        <v>1291</v>
      </c>
      <c r="AD130" s="16" t="s">
        <v>1292</v>
      </c>
      <c r="AE130" s="16" t="s">
        <v>1292</v>
      </c>
      <c r="AF130" s="14"/>
      <c r="AG130" s="14" t="s">
        <v>100</v>
      </c>
      <c r="AH130" s="14" t="s">
        <v>1207</v>
      </c>
    </row>
    <row r="131" customFormat="false" ht="15" hidden="false" customHeight="false" outlineLevel="0" collapsed="false">
      <c r="A131" s="14" t="s">
        <v>1293</v>
      </c>
      <c r="B131" s="14" t="s">
        <v>1294</v>
      </c>
      <c r="C131" s="14" t="s">
        <v>68</v>
      </c>
      <c r="D131" s="14"/>
      <c r="E131" s="14" t="s">
        <v>6</v>
      </c>
      <c r="F131" s="14" t="s">
        <v>1295</v>
      </c>
      <c r="G131" s="15" t="s">
        <v>538</v>
      </c>
      <c r="H131" s="14" t="s">
        <v>539</v>
      </c>
      <c r="I131" s="14" t="s">
        <v>210</v>
      </c>
      <c r="J131" s="14" t="s">
        <v>8</v>
      </c>
      <c r="K131" s="14" t="s">
        <v>90</v>
      </c>
      <c r="L131" s="15" t="s">
        <v>91</v>
      </c>
      <c r="M131" s="14" t="s">
        <v>1296</v>
      </c>
      <c r="N131" s="16" t="s">
        <v>1297</v>
      </c>
      <c r="O131" s="15"/>
      <c r="P131" s="15"/>
      <c r="Q131" s="15" t="n">
        <f aca="false">IFERROR(VLOOKUP(J131,Parametros!$A$5:$B$9,2,FALSE()),0)</f>
        <v>3</v>
      </c>
      <c r="R131" s="15" t="n">
        <f aca="false">IFERROR(VLOOKUP(H131,Parametros!$D$5:$E$23,2,FALSE()),1)</f>
        <v>1</v>
      </c>
      <c r="S131" s="15" t="n">
        <f aca="false">IF(OR(N(O131)&gt;=Parametros!$H$9,AND(N(P131)&gt;0,N(P131)&lt;=Parametros!$H$10)),1,0)</f>
        <v>0</v>
      </c>
      <c r="T131" s="15" t="n">
        <f aca="false">Q131+R131+S131</f>
        <v>4</v>
      </c>
      <c r="U131" s="15" t="str">
        <f aca="false">IF(OR(V131="Inactive",V131="No encontrada",V131="Duplicado"),"Descartada",IF(AND(T131&gt;=Parametros!$H$5,S131=1),"A",IF(T131&gt;=Parametros!$H$6,"B","C")))</f>
        <v>B</v>
      </c>
      <c r="V131" s="17" t="s">
        <v>94</v>
      </c>
      <c r="W131" s="17"/>
      <c r="X131" s="14" t="s">
        <v>1298</v>
      </c>
      <c r="Y131" s="14" t="s">
        <v>1299</v>
      </c>
      <c r="Z131" s="14"/>
      <c r="AA131" s="16" t="s">
        <v>1300</v>
      </c>
      <c r="AB131" s="14"/>
      <c r="AC131" s="14"/>
      <c r="AD131" s="16" t="s">
        <v>1297</v>
      </c>
      <c r="AE131" s="16" t="s">
        <v>1301</v>
      </c>
      <c r="AF131" s="14"/>
      <c r="AG131" s="14" t="s">
        <v>100</v>
      </c>
      <c r="AH131" s="14" t="s">
        <v>207</v>
      </c>
    </row>
    <row r="132" customFormat="false" ht="15" hidden="false" customHeight="false" outlineLevel="0" collapsed="false">
      <c r="A132" s="14" t="s">
        <v>1302</v>
      </c>
      <c r="B132" s="14" t="s">
        <v>1303</v>
      </c>
      <c r="C132" s="14" t="s">
        <v>68</v>
      </c>
      <c r="D132" s="14"/>
      <c r="E132" s="14" t="s">
        <v>6</v>
      </c>
      <c r="F132" s="14" t="s">
        <v>1304</v>
      </c>
      <c r="G132" s="15" t="s">
        <v>538</v>
      </c>
      <c r="H132" s="14" t="s">
        <v>539</v>
      </c>
      <c r="I132" s="14" t="s">
        <v>72</v>
      </c>
      <c r="J132" s="14" t="s">
        <v>8</v>
      </c>
      <c r="K132" s="14" t="s">
        <v>61</v>
      </c>
      <c r="L132" s="15" t="s">
        <v>91</v>
      </c>
      <c r="M132" s="14" t="s">
        <v>1305</v>
      </c>
      <c r="N132" s="16" t="s">
        <v>1306</v>
      </c>
      <c r="O132" s="15"/>
      <c r="P132" s="15"/>
      <c r="Q132" s="15" t="n">
        <f aca="false">IFERROR(VLOOKUP(J132,Parametros!$A$5:$B$9,2,FALSE()),0)</f>
        <v>3</v>
      </c>
      <c r="R132" s="15" t="n">
        <f aca="false">IFERROR(VLOOKUP(H132,Parametros!$D$5:$E$23,2,FALSE()),1)</f>
        <v>1</v>
      </c>
      <c r="S132" s="15" t="n">
        <f aca="false">IF(OR(N(O132)&gt;=Parametros!$H$9,AND(N(P132)&gt;0,N(P132)&lt;=Parametros!$H$10)),1,0)</f>
        <v>0</v>
      </c>
      <c r="T132" s="15" t="n">
        <f aca="false">Q132+R132+S132</f>
        <v>4</v>
      </c>
      <c r="U132" s="15" t="str">
        <f aca="false">IF(OR(V132="Inactive",V132="No encontrada",V132="Duplicado"),"Descartada",IF(AND(T132&gt;=Parametros!$H$5,S132=1),"A",IF(T132&gt;=Parametros!$H$6,"B","C")))</f>
        <v>B</v>
      </c>
      <c r="V132" s="17" t="s">
        <v>94</v>
      </c>
      <c r="W132" s="17"/>
      <c r="X132" s="14" t="s">
        <v>1307</v>
      </c>
      <c r="Y132" s="14" t="s">
        <v>1308</v>
      </c>
      <c r="Z132" s="14"/>
      <c r="AA132" s="14"/>
      <c r="AB132" s="14"/>
      <c r="AC132" s="14"/>
      <c r="AD132" s="16" t="s">
        <v>1309</v>
      </c>
      <c r="AE132" s="16" t="s">
        <v>1306</v>
      </c>
      <c r="AF132" s="14"/>
      <c r="AG132" s="14" t="s">
        <v>100</v>
      </c>
      <c r="AH132" s="14" t="s">
        <v>207</v>
      </c>
    </row>
    <row r="133" customFormat="false" ht="15" hidden="false" customHeight="false" outlineLevel="0" collapsed="false">
      <c r="A133" s="14" t="s">
        <v>1310</v>
      </c>
      <c r="B133" s="14" t="s">
        <v>1311</v>
      </c>
      <c r="C133" s="14" t="s">
        <v>68</v>
      </c>
      <c r="D133" s="14"/>
      <c r="E133" s="14" t="s">
        <v>6</v>
      </c>
      <c r="F133" s="14" t="s">
        <v>1312</v>
      </c>
      <c r="G133" s="15" t="s">
        <v>538</v>
      </c>
      <c r="H133" s="14" t="s">
        <v>539</v>
      </c>
      <c r="I133" s="14" t="s">
        <v>210</v>
      </c>
      <c r="J133" s="14" t="s">
        <v>210</v>
      </c>
      <c r="K133" s="14" t="s">
        <v>61</v>
      </c>
      <c r="L133" s="15" t="s">
        <v>91</v>
      </c>
      <c r="M133" s="14" t="s">
        <v>1313</v>
      </c>
      <c r="N133" s="16" t="s">
        <v>1314</v>
      </c>
      <c r="O133" s="15"/>
      <c r="P133" s="15"/>
      <c r="Q133" s="15" t="n">
        <f aca="false">IFERROR(VLOOKUP(J133,Parametros!$A$5:$B$9,2,FALSE()),0)</f>
        <v>1</v>
      </c>
      <c r="R133" s="15" t="n">
        <f aca="false">IFERROR(VLOOKUP(H133,Parametros!$D$5:$E$23,2,FALSE()),1)</f>
        <v>1</v>
      </c>
      <c r="S133" s="15" t="n">
        <f aca="false">IF(OR(N(O133)&gt;=Parametros!$H$9,AND(N(P133)&gt;0,N(P133)&lt;=Parametros!$H$10)),1,0)</f>
        <v>0</v>
      </c>
      <c r="T133" s="15" t="n">
        <f aca="false">Q133+R133+S133</f>
        <v>2</v>
      </c>
      <c r="U133" s="15" t="str">
        <f aca="false">IF(OR(V133="Inactive",V133="No encontrada",V133="Duplicado"),"Descartada",IF(AND(T133&gt;=Parametros!$H$5,S133=1),"A",IF(T133&gt;=Parametros!$H$6,"B","C")))</f>
        <v>C</v>
      </c>
      <c r="V133" s="17" t="s">
        <v>94</v>
      </c>
      <c r="W133" s="17"/>
      <c r="X133" s="14" t="s">
        <v>1315</v>
      </c>
      <c r="Y133" s="14" t="s">
        <v>1316</v>
      </c>
      <c r="Z133" s="14"/>
      <c r="AA133" s="14"/>
      <c r="AB133" s="14"/>
      <c r="AC133" s="14"/>
      <c r="AD133" s="16" t="s">
        <v>1314</v>
      </c>
      <c r="AE133" s="16" t="s">
        <v>1314</v>
      </c>
      <c r="AF133" s="14"/>
      <c r="AG133" s="14"/>
      <c r="AH133" s="14" t="s">
        <v>549</v>
      </c>
    </row>
    <row r="134" customFormat="false" ht="15" hidden="false" customHeight="false" outlineLevel="0" collapsed="false">
      <c r="A134" s="14" t="s">
        <v>1317</v>
      </c>
      <c r="B134" s="14" t="s">
        <v>1318</v>
      </c>
      <c r="C134" s="14" t="s">
        <v>494</v>
      </c>
      <c r="D134" s="14" t="s">
        <v>536</v>
      </c>
      <c r="E134" s="14" t="s">
        <v>6</v>
      </c>
      <c r="F134" s="14" t="s">
        <v>1319</v>
      </c>
      <c r="G134" s="15" t="s">
        <v>224</v>
      </c>
      <c r="H134" s="14" t="s">
        <v>225</v>
      </c>
      <c r="I134" s="14" t="s">
        <v>89</v>
      </c>
      <c r="J134" s="14" t="s">
        <v>8</v>
      </c>
      <c r="K134" s="14" t="s">
        <v>61</v>
      </c>
      <c r="L134" s="15" t="s">
        <v>91</v>
      </c>
      <c r="M134" s="14" t="s">
        <v>1320</v>
      </c>
      <c r="N134" s="16" t="s">
        <v>1321</v>
      </c>
      <c r="O134" s="15"/>
      <c r="P134" s="15"/>
      <c r="Q134" s="15" t="n">
        <f aca="false">IFERROR(VLOOKUP(J134,Parametros!$A$5:$B$9,2,FALSE()),0)</f>
        <v>3</v>
      </c>
      <c r="R134" s="15" t="n">
        <f aca="false">IFERROR(VLOOKUP(H134,Parametros!$D$5:$E$23,2,FALSE()),1)</f>
        <v>2</v>
      </c>
      <c r="S134" s="15" t="n">
        <f aca="false">IF(OR(N(O134)&gt;=Parametros!$H$9,AND(N(P134)&gt;0,N(P134)&lt;=Parametros!$H$10)),1,0)</f>
        <v>0</v>
      </c>
      <c r="T134" s="15" t="n">
        <f aca="false">Q134+R134+S134</f>
        <v>5</v>
      </c>
      <c r="U134" s="15" t="str">
        <f aca="false">IF(OR(V134="Inactive",V134="No encontrada",V134="Duplicado"),"Descartada",IF(AND(T134&gt;=Parametros!$H$5,S134=1),"A",IF(T134&gt;=Parametros!$H$6,"B","C")))</f>
        <v>B</v>
      </c>
      <c r="V134" s="17" t="s">
        <v>94</v>
      </c>
      <c r="W134" s="17"/>
      <c r="X134" s="14" t="s">
        <v>1322</v>
      </c>
      <c r="Y134" s="14" t="s">
        <v>1323</v>
      </c>
      <c r="Z134" s="14"/>
      <c r="AA134" s="14"/>
      <c r="AB134" s="14"/>
      <c r="AC134" s="14"/>
      <c r="AD134" s="16" t="s">
        <v>1321</v>
      </c>
      <c r="AE134" s="16" t="s">
        <v>1324</v>
      </c>
      <c r="AF134" s="14"/>
      <c r="AG134" s="14" t="s">
        <v>100</v>
      </c>
      <c r="AH134" s="14" t="s">
        <v>1325</v>
      </c>
    </row>
    <row r="135" customFormat="false" ht="15" hidden="false" customHeight="false" outlineLevel="0" collapsed="false">
      <c r="A135" s="14" t="s">
        <v>1326</v>
      </c>
      <c r="B135" s="14" t="s">
        <v>1327</v>
      </c>
      <c r="C135" s="14" t="s">
        <v>494</v>
      </c>
      <c r="D135" s="14" t="s">
        <v>536</v>
      </c>
      <c r="E135" s="14" t="s">
        <v>6</v>
      </c>
      <c r="F135" s="14" t="s">
        <v>1319</v>
      </c>
      <c r="G135" s="15" t="s">
        <v>224</v>
      </c>
      <c r="H135" s="14" t="s">
        <v>225</v>
      </c>
      <c r="I135" s="14" t="s">
        <v>210</v>
      </c>
      <c r="J135" s="14" t="s">
        <v>8</v>
      </c>
      <c r="K135" s="14" t="s">
        <v>61</v>
      </c>
      <c r="L135" s="15" t="s">
        <v>91</v>
      </c>
      <c r="M135" s="14" t="s">
        <v>1328</v>
      </c>
      <c r="N135" s="16" t="s">
        <v>1329</v>
      </c>
      <c r="O135" s="15"/>
      <c r="P135" s="15"/>
      <c r="Q135" s="15" t="n">
        <f aca="false">IFERROR(VLOOKUP(J135,Parametros!$A$5:$B$9,2,FALSE()),0)</f>
        <v>3</v>
      </c>
      <c r="R135" s="15" t="n">
        <f aca="false">IFERROR(VLOOKUP(H135,Parametros!$D$5:$E$23,2,FALSE()),1)</f>
        <v>2</v>
      </c>
      <c r="S135" s="15" t="n">
        <f aca="false">IF(OR(N(O135)&gt;=Parametros!$H$9,AND(N(P135)&gt;0,N(P135)&lt;=Parametros!$H$10)),1,0)</f>
        <v>0</v>
      </c>
      <c r="T135" s="15" t="n">
        <f aca="false">Q135+R135+S135</f>
        <v>5</v>
      </c>
      <c r="U135" s="15" t="str">
        <f aca="false">IF(OR(V135="Inactive",V135="No encontrada",V135="Duplicado"),"Descartada",IF(AND(T135&gt;=Parametros!$H$5,S135=1),"A",IF(T135&gt;=Parametros!$H$6,"B","C")))</f>
        <v>B</v>
      </c>
      <c r="V135" s="17" t="s">
        <v>94</v>
      </c>
      <c r="W135" s="17"/>
      <c r="X135" s="14" t="s">
        <v>1330</v>
      </c>
      <c r="Y135" s="14" t="s">
        <v>1331</v>
      </c>
      <c r="Z135" s="14"/>
      <c r="AA135" s="14"/>
      <c r="AB135" s="14"/>
      <c r="AC135" s="14"/>
      <c r="AD135" s="16" t="s">
        <v>1332</v>
      </c>
      <c r="AE135" s="16" t="s">
        <v>1332</v>
      </c>
      <c r="AF135" s="14"/>
      <c r="AG135" s="14" t="s">
        <v>100</v>
      </c>
      <c r="AH135" s="14" t="s">
        <v>1325</v>
      </c>
    </row>
    <row r="136" customFormat="false" ht="15" hidden="false" customHeight="false" outlineLevel="0" collapsed="false">
      <c r="A136" s="14" t="s">
        <v>1333</v>
      </c>
      <c r="B136" s="14" t="s">
        <v>1334</v>
      </c>
      <c r="C136" s="14" t="s">
        <v>68</v>
      </c>
      <c r="D136" s="14"/>
      <c r="E136" s="14" t="s">
        <v>6</v>
      </c>
      <c r="F136" s="14" t="s">
        <v>1319</v>
      </c>
      <c r="G136" s="15" t="s">
        <v>224</v>
      </c>
      <c r="H136" s="14" t="s">
        <v>225</v>
      </c>
      <c r="I136" s="14" t="s">
        <v>210</v>
      </c>
      <c r="J136" s="14" t="s">
        <v>210</v>
      </c>
      <c r="K136" s="14" t="s">
        <v>61</v>
      </c>
      <c r="L136" s="15" t="s">
        <v>91</v>
      </c>
      <c r="M136" s="14" t="s">
        <v>1335</v>
      </c>
      <c r="N136" s="16" t="s">
        <v>1336</v>
      </c>
      <c r="O136" s="15"/>
      <c r="P136" s="15"/>
      <c r="Q136" s="15" t="n">
        <f aca="false">IFERROR(VLOOKUP(J136,Parametros!$A$5:$B$9,2,FALSE()),0)</f>
        <v>1</v>
      </c>
      <c r="R136" s="15" t="n">
        <f aca="false">IFERROR(VLOOKUP(H136,Parametros!$D$5:$E$23,2,FALSE()),1)</f>
        <v>2</v>
      </c>
      <c r="S136" s="15" t="n">
        <f aca="false">IF(OR(N(O136)&gt;=Parametros!$H$9,AND(N(P136)&gt;0,N(P136)&lt;=Parametros!$H$10)),1,0)</f>
        <v>0</v>
      </c>
      <c r="T136" s="15" t="n">
        <f aca="false">Q136+R136+S136</f>
        <v>3</v>
      </c>
      <c r="U136" s="15" t="str">
        <f aca="false">IF(OR(V136="Inactive",V136="No encontrada",V136="Duplicado"),"Descartada",IF(AND(T136&gt;=Parametros!$H$5,S136=1),"A",IF(T136&gt;=Parametros!$H$6,"B","C")))</f>
        <v>C</v>
      </c>
      <c r="V136" s="17" t="s">
        <v>94</v>
      </c>
      <c r="W136" s="17"/>
      <c r="X136" s="14" t="s">
        <v>1337</v>
      </c>
      <c r="Y136" s="14" t="s">
        <v>1338</v>
      </c>
      <c r="Z136" s="14"/>
      <c r="AA136" s="14"/>
      <c r="AB136" s="14"/>
      <c r="AC136" s="14"/>
      <c r="AD136" s="16" t="s">
        <v>1336</v>
      </c>
      <c r="AE136" s="16" t="s">
        <v>1339</v>
      </c>
      <c r="AF136" s="14"/>
      <c r="AG136" s="14" t="s">
        <v>1340</v>
      </c>
      <c r="AH136" s="14" t="s">
        <v>1325</v>
      </c>
    </row>
    <row r="137" customFormat="false" ht="15" hidden="false" customHeight="false" outlineLevel="0" collapsed="false">
      <c r="A137" s="14" t="s">
        <v>1341</v>
      </c>
      <c r="B137" s="14" t="s">
        <v>1342</v>
      </c>
      <c r="C137" s="14" t="s">
        <v>68</v>
      </c>
      <c r="D137" s="14"/>
      <c r="E137" s="14" t="s">
        <v>6</v>
      </c>
      <c r="F137" s="14" t="s">
        <v>1343</v>
      </c>
      <c r="G137" s="15" t="s">
        <v>1344</v>
      </c>
      <c r="H137" s="14" t="s">
        <v>1345</v>
      </c>
      <c r="I137" s="14" t="s">
        <v>210</v>
      </c>
      <c r="J137" s="14" t="s">
        <v>8</v>
      </c>
      <c r="K137" s="14" t="s">
        <v>61</v>
      </c>
      <c r="L137" s="15" t="s">
        <v>91</v>
      </c>
      <c r="M137" s="14" t="s">
        <v>1346</v>
      </c>
      <c r="N137" s="16" t="s">
        <v>1347</v>
      </c>
      <c r="O137" s="15"/>
      <c r="P137" s="15"/>
      <c r="Q137" s="15" t="n">
        <f aca="false">IFERROR(VLOOKUP(J137,Parametros!$A$5:$B$9,2,FALSE()),0)</f>
        <v>3</v>
      </c>
      <c r="R137" s="15" t="n">
        <f aca="false">IFERROR(VLOOKUP(H137,Parametros!$D$5:$E$23,2,FALSE()),1)</f>
        <v>1</v>
      </c>
      <c r="S137" s="15" t="n">
        <f aca="false">IF(OR(N(O137)&gt;=Parametros!$H$9,AND(N(P137)&gt;0,N(P137)&lt;=Parametros!$H$10)),1,0)</f>
        <v>0</v>
      </c>
      <c r="T137" s="15" t="n">
        <f aca="false">Q137+R137+S137</f>
        <v>4</v>
      </c>
      <c r="U137" s="15" t="str">
        <f aca="false">IF(OR(V137="Inactive",V137="No encontrada",V137="Duplicado"),"Descartada",IF(AND(T137&gt;=Parametros!$H$5,S137=1),"A",IF(T137&gt;=Parametros!$H$6,"B","C")))</f>
        <v>B</v>
      </c>
      <c r="V137" s="17" t="s">
        <v>94</v>
      </c>
      <c r="W137" s="17"/>
      <c r="X137" s="14" t="s">
        <v>1348</v>
      </c>
      <c r="Y137" s="14" t="s">
        <v>1349</v>
      </c>
      <c r="Z137" s="14"/>
      <c r="AA137" s="14"/>
      <c r="AB137" s="14"/>
      <c r="AC137" s="14"/>
      <c r="AD137" s="16" t="s">
        <v>1347</v>
      </c>
      <c r="AE137" s="16" t="s">
        <v>1350</v>
      </c>
      <c r="AF137" s="14"/>
      <c r="AG137" s="14" t="s">
        <v>100</v>
      </c>
      <c r="AH137" s="14" t="s">
        <v>1351</v>
      </c>
    </row>
    <row r="138" customFormat="false" ht="15" hidden="false" customHeight="false" outlineLevel="0" collapsed="false">
      <c r="A138" s="14" t="s">
        <v>1352</v>
      </c>
      <c r="B138" s="14" t="s">
        <v>1353</v>
      </c>
      <c r="C138" s="14" t="s">
        <v>157</v>
      </c>
      <c r="D138" s="14"/>
      <c r="E138" s="14" t="s">
        <v>6</v>
      </c>
      <c r="F138" s="14" t="s">
        <v>1343</v>
      </c>
      <c r="G138" s="15" t="s">
        <v>1344</v>
      </c>
      <c r="H138" s="14" t="s">
        <v>1345</v>
      </c>
      <c r="I138" s="14" t="s">
        <v>210</v>
      </c>
      <c r="J138" s="14" t="s">
        <v>8</v>
      </c>
      <c r="K138" s="14" t="s">
        <v>1226</v>
      </c>
      <c r="L138" s="15" t="s">
        <v>91</v>
      </c>
      <c r="M138" s="14" t="s">
        <v>1354</v>
      </c>
      <c r="N138" s="16" t="s">
        <v>1355</v>
      </c>
      <c r="O138" s="15"/>
      <c r="P138" s="15"/>
      <c r="Q138" s="15" t="n">
        <f aca="false">IFERROR(VLOOKUP(J138,Parametros!$A$5:$B$9,2,FALSE()),0)</f>
        <v>3</v>
      </c>
      <c r="R138" s="15" t="n">
        <f aca="false">IFERROR(VLOOKUP(H138,Parametros!$D$5:$E$23,2,FALSE()),1)</f>
        <v>1</v>
      </c>
      <c r="S138" s="15" t="n">
        <f aca="false">IF(OR(N(O138)&gt;=Parametros!$H$9,AND(N(P138)&gt;0,N(P138)&lt;=Parametros!$H$10)),1,0)</f>
        <v>0</v>
      </c>
      <c r="T138" s="15" t="n">
        <f aca="false">Q138+R138+S138</f>
        <v>4</v>
      </c>
      <c r="U138" s="15" t="str">
        <f aca="false">IF(OR(V138="Inactive",V138="No encontrada",V138="Duplicado"),"Descartada",IF(AND(T138&gt;=Parametros!$H$5,S138=1),"A",IF(T138&gt;=Parametros!$H$6,"B","C")))</f>
        <v>B</v>
      </c>
      <c r="V138" s="17" t="s">
        <v>94</v>
      </c>
      <c r="W138" s="17"/>
      <c r="X138" s="14" t="s">
        <v>1356</v>
      </c>
      <c r="Y138" s="14" t="s">
        <v>1357</v>
      </c>
      <c r="Z138" s="14"/>
      <c r="AA138" s="14"/>
      <c r="AB138" s="16" t="s">
        <v>1358</v>
      </c>
      <c r="AC138" s="14"/>
      <c r="AD138" s="16" t="s">
        <v>1355</v>
      </c>
      <c r="AE138" s="16" t="s">
        <v>1359</v>
      </c>
      <c r="AF138" s="14"/>
      <c r="AG138" s="14" t="s">
        <v>100</v>
      </c>
      <c r="AH138" s="14" t="s">
        <v>1351</v>
      </c>
    </row>
    <row r="139" customFormat="false" ht="15" hidden="false" customHeight="false" outlineLevel="0" collapsed="false">
      <c r="A139" s="14" t="s">
        <v>1360</v>
      </c>
      <c r="B139" s="14" t="s">
        <v>1361</v>
      </c>
      <c r="C139" s="14" t="s">
        <v>68</v>
      </c>
      <c r="D139" s="14"/>
      <c r="E139" s="14" t="s">
        <v>6</v>
      </c>
      <c r="F139" s="14" t="s">
        <v>1362</v>
      </c>
      <c r="G139" s="15" t="s">
        <v>1344</v>
      </c>
      <c r="H139" s="14" t="s">
        <v>1345</v>
      </c>
      <c r="I139" s="14" t="s">
        <v>89</v>
      </c>
      <c r="J139" s="14" t="s">
        <v>8</v>
      </c>
      <c r="K139" s="14" t="s">
        <v>90</v>
      </c>
      <c r="L139" s="15" t="s">
        <v>91</v>
      </c>
      <c r="M139" s="14" t="s">
        <v>1363</v>
      </c>
      <c r="N139" s="16" t="s">
        <v>1364</v>
      </c>
      <c r="O139" s="15"/>
      <c r="P139" s="15" t="n">
        <v>2004</v>
      </c>
      <c r="Q139" s="15" t="n">
        <f aca="false">IFERROR(VLOOKUP(J139,Parametros!$A$5:$B$9,2,FALSE()),0)</f>
        <v>3</v>
      </c>
      <c r="R139" s="15" t="n">
        <f aca="false">IFERROR(VLOOKUP(H139,Parametros!$D$5:$E$23,2,FALSE()),1)</f>
        <v>1</v>
      </c>
      <c r="S139" s="15" t="n">
        <f aca="false">IF(OR(N(O139)&gt;=Parametros!$H$9,AND(N(P139)&gt;0,N(P139)&lt;=Parametros!$H$10)),1,0)</f>
        <v>0</v>
      </c>
      <c r="T139" s="15" t="n">
        <f aca="false">Q139+R139+S139</f>
        <v>4</v>
      </c>
      <c r="U139" s="15" t="str">
        <f aca="false">IF(OR(V139="Inactive",V139="No encontrada",V139="Duplicado"),"Descartada",IF(AND(T139&gt;=Parametros!$H$5,S139=1),"A",IF(T139&gt;=Parametros!$H$6,"B","C")))</f>
        <v>B</v>
      </c>
      <c r="V139" s="17" t="s">
        <v>94</v>
      </c>
      <c r="W139" s="17"/>
      <c r="X139" s="14" t="s">
        <v>1365</v>
      </c>
      <c r="Y139" s="14" t="s">
        <v>1366</v>
      </c>
      <c r="Z139" s="14"/>
      <c r="AA139" s="16" t="s">
        <v>1367</v>
      </c>
      <c r="AB139" s="14"/>
      <c r="AC139" s="14"/>
      <c r="AD139" s="16" t="s">
        <v>1364</v>
      </c>
      <c r="AE139" s="16" t="s">
        <v>1368</v>
      </c>
      <c r="AF139" s="14"/>
      <c r="AG139" s="14" t="s">
        <v>100</v>
      </c>
      <c r="AH139" s="14" t="s">
        <v>1351</v>
      </c>
    </row>
    <row r="140" customFormat="false" ht="15" hidden="false" customHeight="false" outlineLevel="0" collapsed="false">
      <c r="A140" s="14" t="s">
        <v>1369</v>
      </c>
      <c r="B140" s="14" t="s">
        <v>1370</v>
      </c>
      <c r="C140" s="14" t="s">
        <v>68</v>
      </c>
      <c r="D140" s="14"/>
      <c r="E140" s="14" t="s">
        <v>6</v>
      </c>
      <c r="F140" s="14" t="s">
        <v>1371</v>
      </c>
      <c r="G140" s="15" t="s">
        <v>1344</v>
      </c>
      <c r="H140" s="14" t="s">
        <v>1345</v>
      </c>
      <c r="I140" s="14" t="s">
        <v>210</v>
      </c>
      <c r="J140" s="14" t="s">
        <v>199</v>
      </c>
      <c r="K140" s="14" t="s">
        <v>90</v>
      </c>
      <c r="L140" s="15" t="s">
        <v>91</v>
      </c>
      <c r="M140" s="14" t="s">
        <v>1372</v>
      </c>
      <c r="N140" s="16" t="s">
        <v>1373</v>
      </c>
      <c r="O140" s="15"/>
      <c r="P140" s="15"/>
      <c r="Q140" s="15" t="n">
        <f aca="false">IFERROR(VLOOKUP(J140,Parametros!$A$5:$B$9,2,FALSE()),0)</f>
        <v>1</v>
      </c>
      <c r="R140" s="15" t="n">
        <f aca="false">IFERROR(VLOOKUP(H140,Parametros!$D$5:$E$23,2,FALSE()),1)</f>
        <v>1</v>
      </c>
      <c r="S140" s="15" t="n">
        <f aca="false">IF(OR(N(O140)&gt;=Parametros!$H$9,AND(N(P140)&gt;0,N(P140)&lt;=Parametros!$H$10)),1,0)</f>
        <v>0</v>
      </c>
      <c r="T140" s="15" t="n">
        <f aca="false">Q140+R140+S140</f>
        <v>2</v>
      </c>
      <c r="U140" s="15" t="str">
        <f aca="false">IF(OR(V140="Inactive",V140="No encontrada",V140="Duplicado"),"Descartada",IF(AND(T140&gt;=Parametros!$H$5,S140=1),"A",IF(T140&gt;=Parametros!$H$6,"B","C")))</f>
        <v>C</v>
      </c>
      <c r="V140" s="17" t="s">
        <v>94</v>
      </c>
      <c r="W140" s="17"/>
      <c r="X140" s="14" t="s">
        <v>1374</v>
      </c>
      <c r="Y140" s="14" t="s">
        <v>1375</v>
      </c>
      <c r="Z140" s="14" t="s">
        <v>1376</v>
      </c>
      <c r="AA140" s="16" t="s">
        <v>1377</v>
      </c>
      <c r="AB140" s="14"/>
      <c r="AC140" s="14"/>
      <c r="AD140" s="16" t="s">
        <v>1378</v>
      </c>
      <c r="AE140" s="16" t="s">
        <v>1373</v>
      </c>
      <c r="AF140" s="14"/>
      <c r="AG140" s="14"/>
      <c r="AH140" s="14" t="s">
        <v>1351</v>
      </c>
    </row>
    <row r="141" customFormat="false" ht="15" hidden="false" customHeight="false" outlineLevel="0" collapsed="false">
      <c r="A141" s="14" t="s">
        <v>1379</v>
      </c>
      <c r="B141" s="14" t="s">
        <v>1380</v>
      </c>
      <c r="C141" s="14" t="s">
        <v>420</v>
      </c>
      <c r="D141" s="14"/>
      <c r="E141" s="14" t="s">
        <v>6</v>
      </c>
      <c r="F141" s="14" t="s">
        <v>659</v>
      </c>
      <c r="G141" s="15" t="s">
        <v>224</v>
      </c>
      <c r="H141" s="14" t="s">
        <v>225</v>
      </c>
      <c r="I141" s="14" t="s">
        <v>210</v>
      </c>
      <c r="J141" s="14" t="s">
        <v>235</v>
      </c>
      <c r="K141" s="14" t="s">
        <v>61</v>
      </c>
      <c r="L141" s="15" t="s">
        <v>91</v>
      </c>
      <c r="M141" s="14" t="s">
        <v>1381</v>
      </c>
      <c r="N141" s="16" t="s">
        <v>1382</v>
      </c>
      <c r="O141" s="15"/>
      <c r="P141" s="15"/>
      <c r="Q141" s="15" t="n">
        <f aca="false">IFERROR(VLOOKUP(J141,Parametros!$A$5:$B$9,2,FALSE()),0)</f>
        <v>2</v>
      </c>
      <c r="R141" s="15" t="n">
        <f aca="false">IFERROR(VLOOKUP(H141,Parametros!$D$5:$E$23,2,FALSE()),1)</f>
        <v>2</v>
      </c>
      <c r="S141" s="15" t="n">
        <f aca="false">IF(OR(N(O141)&gt;=Parametros!$H$9,AND(N(P141)&gt;0,N(P141)&lt;=Parametros!$H$10)),1,0)</f>
        <v>0</v>
      </c>
      <c r="T141" s="15" t="n">
        <f aca="false">Q141+R141+S141</f>
        <v>4</v>
      </c>
      <c r="U141" s="15" t="str">
        <f aca="false">IF(OR(V141="Inactive",V141="No encontrada",V141="Duplicado"),"Descartada",IF(AND(T141&gt;=Parametros!$H$5,S141=1),"A",IF(T141&gt;=Parametros!$H$6,"B","C")))</f>
        <v>B</v>
      </c>
      <c r="V141" s="17" t="s">
        <v>94</v>
      </c>
      <c r="W141" s="17"/>
      <c r="X141" s="14" t="s">
        <v>1383</v>
      </c>
      <c r="Y141" s="14" t="s">
        <v>1384</v>
      </c>
      <c r="Z141" s="14"/>
      <c r="AA141" s="14"/>
      <c r="AB141" s="14"/>
      <c r="AC141" s="14"/>
      <c r="AD141" s="16" t="s">
        <v>1385</v>
      </c>
      <c r="AE141" s="16" t="s">
        <v>1382</v>
      </c>
      <c r="AF141" s="14"/>
      <c r="AG141" s="14"/>
      <c r="AH141" s="14" t="s">
        <v>667</v>
      </c>
    </row>
    <row r="142" customFormat="false" ht="15" hidden="false" customHeight="false" outlineLevel="0" collapsed="false">
      <c r="A142" s="14" t="s">
        <v>1386</v>
      </c>
      <c r="B142" s="14" t="s">
        <v>1387</v>
      </c>
      <c r="C142" s="14" t="s">
        <v>420</v>
      </c>
      <c r="D142" s="14"/>
      <c r="E142" s="14" t="s">
        <v>6</v>
      </c>
      <c r="F142" s="14" t="s">
        <v>1388</v>
      </c>
      <c r="G142" s="15" t="s">
        <v>538</v>
      </c>
      <c r="H142" s="14" t="s">
        <v>539</v>
      </c>
      <c r="I142" s="14" t="s">
        <v>210</v>
      </c>
      <c r="J142" s="14" t="s">
        <v>8</v>
      </c>
      <c r="K142" s="14" t="s">
        <v>61</v>
      </c>
      <c r="L142" s="15" t="s">
        <v>91</v>
      </c>
      <c r="M142" s="14" t="s">
        <v>1389</v>
      </c>
      <c r="N142" s="16" t="s">
        <v>1390</v>
      </c>
      <c r="O142" s="15"/>
      <c r="P142" s="15"/>
      <c r="Q142" s="15" t="n">
        <f aca="false">IFERROR(VLOOKUP(J142,Parametros!$A$5:$B$9,2,FALSE()),0)</f>
        <v>3</v>
      </c>
      <c r="R142" s="15" t="n">
        <f aca="false">IFERROR(VLOOKUP(H142,Parametros!$D$5:$E$23,2,FALSE()),1)</f>
        <v>1</v>
      </c>
      <c r="S142" s="15" t="n">
        <f aca="false">IF(OR(N(O142)&gt;=Parametros!$H$9,AND(N(P142)&gt;0,N(P142)&lt;=Parametros!$H$10)),1,0)</f>
        <v>0</v>
      </c>
      <c r="T142" s="15" t="n">
        <f aca="false">Q142+R142+S142</f>
        <v>4</v>
      </c>
      <c r="U142" s="15" t="str">
        <f aca="false">IF(OR(V142="Inactive",V142="No encontrada",V142="Duplicado"),"Descartada",IF(AND(T142&gt;=Parametros!$H$5,S142=1),"A",IF(T142&gt;=Parametros!$H$6,"B","C")))</f>
        <v>B</v>
      </c>
      <c r="V142" s="17" t="s">
        <v>94</v>
      </c>
      <c r="W142" s="17"/>
      <c r="X142" s="14" t="s">
        <v>1391</v>
      </c>
      <c r="Y142" s="14" t="s">
        <v>1392</v>
      </c>
      <c r="Z142" s="14"/>
      <c r="AA142" s="14"/>
      <c r="AB142" s="14"/>
      <c r="AC142" s="14"/>
      <c r="AD142" s="16" t="s">
        <v>1390</v>
      </c>
      <c r="AE142" s="16" t="s">
        <v>1393</v>
      </c>
      <c r="AF142" s="14"/>
      <c r="AG142" s="14" t="s">
        <v>100</v>
      </c>
      <c r="AH142" s="14" t="s">
        <v>207</v>
      </c>
    </row>
    <row r="143" customFormat="false" ht="15" hidden="false" customHeight="false" outlineLevel="0" collapsed="false">
      <c r="A143" s="14" t="s">
        <v>1394</v>
      </c>
      <c r="B143" s="14" t="s">
        <v>1395</v>
      </c>
      <c r="C143" s="14" t="s">
        <v>563</v>
      </c>
      <c r="D143" s="14"/>
      <c r="E143" s="14" t="s">
        <v>6</v>
      </c>
      <c r="F143" s="14" t="s">
        <v>1396</v>
      </c>
      <c r="G143" s="15" t="s">
        <v>538</v>
      </c>
      <c r="H143" s="14" t="s">
        <v>539</v>
      </c>
      <c r="I143" s="14" t="s">
        <v>210</v>
      </c>
      <c r="J143" s="14" t="s">
        <v>8</v>
      </c>
      <c r="K143" s="14" t="s">
        <v>61</v>
      </c>
      <c r="L143" s="15" t="s">
        <v>91</v>
      </c>
      <c r="M143" s="14" t="s">
        <v>1389</v>
      </c>
      <c r="N143" s="16" t="s">
        <v>1397</v>
      </c>
      <c r="O143" s="15"/>
      <c r="P143" s="15"/>
      <c r="Q143" s="15" t="n">
        <f aca="false">IFERROR(VLOOKUP(J143,Parametros!$A$5:$B$9,2,FALSE()),0)</f>
        <v>3</v>
      </c>
      <c r="R143" s="15" t="n">
        <f aca="false">IFERROR(VLOOKUP(H143,Parametros!$D$5:$E$23,2,FALSE()),1)</f>
        <v>1</v>
      </c>
      <c r="S143" s="15" t="n">
        <f aca="false">IF(OR(N(O143)&gt;=Parametros!$H$9,AND(N(P143)&gt;0,N(P143)&lt;=Parametros!$H$10)),1,0)</f>
        <v>0</v>
      </c>
      <c r="T143" s="15" t="n">
        <f aca="false">Q143+R143+S143</f>
        <v>4</v>
      </c>
      <c r="U143" s="15" t="str">
        <f aca="false">IF(OR(V143="Inactive",V143="No encontrada",V143="Duplicado"),"Descartada",IF(AND(T143&gt;=Parametros!$H$5,S143=1),"A",IF(T143&gt;=Parametros!$H$6,"B","C")))</f>
        <v>B</v>
      </c>
      <c r="V143" s="17" t="s">
        <v>94</v>
      </c>
      <c r="W143" s="17"/>
      <c r="X143" s="14" t="s">
        <v>1398</v>
      </c>
      <c r="Y143" s="14" t="s">
        <v>1399</v>
      </c>
      <c r="Z143" s="14"/>
      <c r="AA143" s="14"/>
      <c r="AB143" s="14"/>
      <c r="AC143" s="14"/>
      <c r="AD143" s="16" t="s">
        <v>1397</v>
      </c>
      <c r="AE143" s="16" t="s">
        <v>1400</v>
      </c>
      <c r="AF143" s="14"/>
      <c r="AG143" s="14" t="s">
        <v>100</v>
      </c>
      <c r="AH143" s="14" t="s">
        <v>207</v>
      </c>
    </row>
    <row r="144" customFormat="false" ht="15" hidden="false" customHeight="false" outlineLevel="0" collapsed="false">
      <c r="A144" s="14" t="s">
        <v>1401</v>
      </c>
      <c r="B144" s="14" t="s">
        <v>1402</v>
      </c>
      <c r="C144" s="14" t="s">
        <v>563</v>
      </c>
      <c r="D144" s="14"/>
      <c r="E144" s="14" t="s">
        <v>6</v>
      </c>
      <c r="F144" s="14" t="s">
        <v>1403</v>
      </c>
      <c r="G144" s="15" t="s">
        <v>224</v>
      </c>
      <c r="H144" s="14" t="s">
        <v>225</v>
      </c>
      <c r="I144" s="14" t="s">
        <v>210</v>
      </c>
      <c r="J144" s="14" t="s">
        <v>8</v>
      </c>
      <c r="K144" s="14" t="s">
        <v>90</v>
      </c>
      <c r="L144" s="15" t="s">
        <v>91</v>
      </c>
      <c r="M144" s="14" t="s">
        <v>1404</v>
      </c>
      <c r="N144" s="16" t="s">
        <v>1405</v>
      </c>
      <c r="O144" s="15"/>
      <c r="P144" s="15" t="n">
        <v>2004</v>
      </c>
      <c r="Q144" s="15" t="n">
        <f aca="false">IFERROR(VLOOKUP(J144,Parametros!$A$5:$B$9,2,FALSE()),0)</f>
        <v>3</v>
      </c>
      <c r="R144" s="15" t="n">
        <f aca="false">IFERROR(VLOOKUP(H144,Parametros!$D$5:$E$23,2,FALSE()),1)</f>
        <v>2</v>
      </c>
      <c r="S144" s="15" t="n">
        <f aca="false">IF(OR(N(O144)&gt;=Parametros!$H$9,AND(N(P144)&gt;0,N(P144)&lt;=Parametros!$H$10)),1,0)</f>
        <v>0</v>
      </c>
      <c r="T144" s="15" t="n">
        <f aca="false">Q144+R144+S144</f>
        <v>5</v>
      </c>
      <c r="U144" s="15" t="str">
        <f aca="false">IF(OR(V144="Inactive",V144="No encontrada",V144="Duplicado"),"Descartada",IF(AND(T144&gt;=Parametros!$H$5,S144=1),"A",IF(T144&gt;=Parametros!$H$6,"B","C")))</f>
        <v>B</v>
      </c>
      <c r="V144" s="17" t="s">
        <v>94</v>
      </c>
      <c r="W144" s="17"/>
      <c r="X144" s="14" t="s">
        <v>1406</v>
      </c>
      <c r="Y144" s="14" t="s">
        <v>1407</v>
      </c>
      <c r="Z144" s="14"/>
      <c r="AA144" s="16" t="s">
        <v>1408</v>
      </c>
      <c r="AB144" s="14"/>
      <c r="AC144" s="14"/>
      <c r="AD144" s="16" t="s">
        <v>1405</v>
      </c>
      <c r="AE144" s="16" t="s">
        <v>1405</v>
      </c>
      <c r="AF144" s="14"/>
      <c r="AG144" s="14" t="s">
        <v>100</v>
      </c>
      <c r="AH144" s="14" t="s">
        <v>1086</v>
      </c>
    </row>
    <row r="145" customFormat="false" ht="23.85" hidden="false" customHeight="false" outlineLevel="0" collapsed="false">
      <c r="A145" s="14" t="s">
        <v>1409</v>
      </c>
      <c r="B145" s="14" t="s">
        <v>1410</v>
      </c>
      <c r="C145" s="14" t="s">
        <v>1113</v>
      </c>
      <c r="D145" s="14"/>
      <c r="E145" s="14" t="s">
        <v>6</v>
      </c>
      <c r="F145" s="14" t="s">
        <v>1411</v>
      </c>
      <c r="G145" s="15" t="s">
        <v>224</v>
      </c>
      <c r="H145" s="14" t="s">
        <v>225</v>
      </c>
      <c r="I145" s="14" t="s">
        <v>210</v>
      </c>
      <c r="J145" s="14" t="s">
        <v>235</v>
      </c>
      <c r="K145" s="14" t="s">
        <v>211</v>
      </c>
      <c r="L145" s="15" t="s">
        <v>91</v>
      </c>
      <c r="M145" s="14" t="s">
        <v>1412</v>
      </c>
      <c r="N145" s="16" t="s">
        <v>1413</v>
      </c>
      <c r="O145" s="15"/>
      <c r="P145" s="15" t="n">
        <v>1992</v>
      </c>
      <c r="Q145" s="15" t="n">
        <f aca="false">IFERROR(VLOOKUP(J145,Parametros!$A$5:$B$9,2,FALSE()),0)</f>
        <v>2</v>
      </c>
      <c r="R145" s="15" t="n">
        <f aca="false">IFERROR(VLOOKUP(H145,Parametros!$D$5:$E$23,2,FALSE()),1)</f>
        <v>2</v>
      </c>
      <c r="S145" s="15" t="n">
        <f aca="false">IF(OR(N(O145)&gt;=Parametros!$H$9,AND(N(P145)&gt;0,N(P145)&lt;=Parametros!$H$10)),1,0)</f>
        <v>1</v>
      </c>
      <c r="T145" s="15" t="n">
        <f aca="false">Q145+R145+S145</f>
        <v>5</v>
      </c>
      <c r="U145" s="15" t="str">
        <f aca="false">IF(OR(V145="Inactive",V145="No encontrada",V145="Duplicado"),"Descartada",IF(AND(T145&gt;=Parametros!$H$5,S145=1),"A",IF(T145&gt;=Parametros!$H$6,"B","C")))</f>
        <v>B</v>
      </c>
      <c r="V145" s="17" t="s">
        <v>94</v>
      </c>
      <c r="W145" s="17"/>
      <c r="X145" s="14" t="s">
        <v>1414</v>
      </c>
      <c r="Y145" s="14" t="s">
        <v>1415</v>
      </c>
      <c r="Z145" s="14" t="s">
        <v>1416</v>
      </c>
      <c r="AA145" s="16" t="s">
        <v>1417</v>
      </c>
      <c r="AB145" s="16" t="s">
        <v>1418</v>
      </c>
      <c r="AC145" s="14"/>
      <c r="AD145" s="16" t="s">
        <v>1413</v>
      </c>
      <c r="AE145" s="16" t="s">
        <v>1413</v>
      </c>
      <c r="AF145" s="14"/>
      <c r="AG145" s="14" t="s">
        <v>1419</v>
      </c>
      <c r="AH145" s="14" t="s">
        <v>1325</v>
      </c>
    </row>
    <row r="146" customFormat="false" ht="15" hidden="false" customHeight="false" outlineLevel="0" collapsed="false">
      <c r="A146" s="14" t="s">
        <v>1420</v>
      </c>
      <c r="B146" s="14" t="s">
        <v>1421</v>
      </c>
      <c r="C146" s="14" t="s">
        <v>1113</v>
      </c>
      <c r="D146" s="14"/>
      <c r="E146" s="14" t="s">
        <v>6</v>
      </c>
      <c r="F146" s="14" t="s">
        <v>1411</v>
      </c>
      <c r="G146" s="15" t="s">
        <v>224</v>
      </c>
      <c r="H146" s="14" t="s">
        <v>225</v>
      </c>
      <c r="I146" s="14" t="s">
        <v>210</v>
      </c>
      <c r="J146" s="14" t="s">
        <v>199</v>
      </c>
      <c r="K146" s="14" t="s">
        <v>90</v>
      </c>
      <c r="L146" s="15" t="s">
        <v>91</v>
      </c>
      <c r="M146" s="14" t="s">
        <v>1422</v>
      </c>
      <c r="N146" s="16" t="s">
        <v>1423</v>
      </c>
      <c r="O146" s="15"/>
      <c r="P146" s="15" t="n">
        <v>1995</v>
      </c>
      <c r="Q146" s="15" t="n">
        <f aca="false">IFERROR(VLOOKUP(J146,Parametros!$A$5:$B$9,2,FALSE()),0)</f>
        <v>1</v>
      </c>
      <c r="R146" s="15" t="n">
        <f aca="false">IFERROR(VLOOKUP(H146,Parametros!$D$5:$E$23,2,FALSE()),1)</f>
        <v>2</v>
      </c>
      <c r="S146" s="15" t="n">
        <f aca="false">IF(OR(N(O146)&gt;=Parametros!$H$9,AND(N(P146)&gt;0,N(P146)&lt;=Parametros!$H$10)),1,0)</f>
        <v>1</v>
      </c>
      <c r="T146" s="15" t="n">
        <f aca="false">Q146+R146+S146</f>
        <v>4</v>
      </c>
      <c r="U146" s="15" t="str">
        <f aca="false">IF(OR(V146="Inactive",V146="No encontrada",V146="Duplicado"),"Descartada",IF(AND(T146&gt;=Parametros!$H$5,S146=1),"A",IF(T146&gt;=Parametros!$H$6,"B","C")))</f>
        <v>B</v>
      </c>
      <c r="V146" s="17" t="s">
        <v>94</v>
      </c>
      <c r="W146" s="17"/>
      <c r="X146" s="14" t="s">
        <v>1424</v>
      </c>
      <c r="Y146" s="14" t="s">
        <v>1425</v>
      </c>
      <c r="Z146" s="14" t="s">
        <v>1426</v>
      </c>
      <c r="AA146" s="16" t="s">
        <v>1427</v>
      </c>
      <c r="AB146" s="14"/>
      <c r="AC146" s="14"/>
      <c r="AD146" s="16" t="s">
        <v>1428</v>
      </c>
      <c r="AE146" s="16" t="s">
        <v>1423</v>
      </c>
      <c r="AF146" s="14"/>
      <c r="AG146" s="14"/>
      <c r="AH146" s="14" t="s">
        <v>1325</v>
      </c>
    </row>
    <row r="147" customFormat="false" ht="15" hidden="false" customHeight="false" outlineLevel="0" collapsed="false">
      <c r="A147" s="14" t="s">
        <v>1429</v>
      </c>
      <c r="B147" s="14" t="s">
        <v>1430</v>
      </c>
      <c r="C147" s="14" t="s">
        <v>955</v>
      </c>
      <c r="D147" s="14"/>
      <c r="E147" s="14" t="s">
        <v>6</v>
      </c>
      <c r="F147" s="14" t="s">
        <v>1431</v>
      </c>
      <c r="G147" s="15" t="s">
        <v>538</v>
      </c>
      <c r="H147" s="14" t="s">
        <v>539</v>
      </c>
      <c r="I147" s="14" t="s">
        <v>210</v>
      </c>
      <c r="J147" s="14" t="s">
        <v>235</v>
      </c>
      <c r="K147" s="14" t="s">
        <v>61</v>
      </c>
      <c r="L147" s="15" t="s">
        <v>91</v>
      </c>
      <c r="M147" s="14" t="s">
        <v>1432</v>
      </c>
      <c r="N147" s="16" t="s">
        <v>1433</v>
      </c>
      <c r="O147" s="15"/>
      <c r="P147" s="15" t="n">
        <v>2002</v>
      </c>
      <c r="Q147" s="15" t="n">
        <f aca="false">IFERROR(VLOOKUP(J147,Parametros!$A$5:$B$9,2,FALSE()),0)</f>
        <v>2</v>
      </c>
      <c r="R147" s="15" t="n">
        <f aca="false">IFERROR(VLOOKUP(H147,Parametros!$D$5:$E$23,2,FALSE()),1)</f>
        <v>1</v>
      </c>
      <c r="S147" s="15" t="n">
        <f aca="false">IF(OR(N(O147)&gt;=Parametros!$H$9,AND(N(P147)&gt;0,N(P147)&lt;=Parametros!$H$10)),1,0)</f>
        <v>0</v>
      </c>
      <c r="T147" s="15" t="n">
        <f aca="false">Q147+R147+S147</f>
        <v>3</v>
      </c>
      <c r="U147" s="15" t="str">
        <f aca="false">IF(OR(V147="Inactive",V147="No encontrada",V147="Duplicado"),"Descartada",IF(AND(T147&gt;=Parametros!$H$5,S147=1),"A",IF(T147&gt;=Parametros!$H$6,"B","C")))</f>
        <v>C</v>
      </c>
      <c r="V147" s="17" t="s">
        <v>94</v>
      </c>
      <c r="W147" s="17"/>
      <c r="X147" s="14" t="s">
        <v>1434</v>
      </c>
      <c r="Y147" s="14" t="s">
        <v>1435</v>
      </c>
      <c r="Z147" s="14" t="s">
        <v>1436</v>
      </c>
      <c r="AA147" s="14"/>
      <c r="AB147" s="14"/>
      <c r="AC147" s="14"/>
      <c r="AD147" s="16" t="s">
        <v>1433</v>
      </c>
      <c r="AE147" s="16" t="s">
        <v>1437</v>
      </c>
      <c r="AF147" s="14"/>
      <c r="AG147" s="14"/>
      <c r="AH147" s="14" t="s">
        <v>549</v>
      </c>
    </row>
    <row r="148" customFormat="false" ht="15" hidden="false" customHeight="false" outlineLevel="0" collapsed="false">
      <c r="A148" s="14" t="s">
        <v>1438</v>
      </c>
      <c r="B148" s="14" t="s">
        <v>1439</v>
      </c>
      <c r="C148" s="14" t="s">
        <v>955</v>
      </c>
      <c r="D148" s="14"/>
      <c r="E148" s="14" t="s">
        <v>6</v>
      </c>
      <c r="F148" s="14" t="s">
        <v>1440</v>
      </c>
      <c r="G148" s="15" t="s">
        <v>538</v>
      </c>
      <c r="H148" s="14" t="s">
        <v>539</v>
      </c>
      <c r="I148" s="14" t="s">
        <v>210</v>
      </c>
      <c r="J148" s="14" t="s">
        <v>8</v>
      </c>
      <c r="K148" s="14" t="s">
        <v>61</v>
      </c>
      <c r="L148" s="15" t="s">
        <v>91</v>
      </c>
      <c r="M148" s="14" t="s">
        <v>1441</v>
      </c>
      <c r="N148" s="16" t="s">
        <v>1442</v>
      </c>
      <c r="O148" s="15"/>
      <c r="P148" s="15"/>
      <c r="Q148" s="15" t="n">
        <f aca="false">IFERROR(VLOOKUP(J148,Parametros!$A$5:$B$9,2,FALSE()),0)</f>
        <v>3</v>
      </c>
      <c r="R148" s="15" t="n">
        <f aca="false">IFERROR(VLOOKUP(H148,Parametros!$D$5:$E$23,2,FALSE()),1)</f>
        <v>1</v>
      </c>
      <c r="S148" s="15" t="n">
        <f aca="false">IF(OR(N(O148)&gt;=Parametros!$H$9,AND(N(P148)&gt;0,N(P148)&lt;=Parametros!$H$10)),1,0)</f>
        <v>0</v>
      </c>
      <c r="T148" s="15" t="n">
        <f aca="false">Q148+R148+S148</f>
        <v>4</v>
      </c>
      <c r="U148" s="15" t="str">
        <f aca="false">IF(OR(V148="Inactive",V148="No encontrada",V148="Duplicado"),"Descartada",IF(AND(T148&gt;=Parametros!$H$5,S148=1),"A",IF(T148&gt;=Parametros!$H$6,"B","C")))</f>
        <v>B</v>
      </c>
      <c r="V148" s="17" t="s">
        <v>94</v>
      </c>
      <c r="W148" s="17"/>
      <c r="X148" s="14" t="s">
        <v>1443</v>
      </c>
      <c r="Y148" s="14" t="s">
        <v>1444</v>
      </c>
      <c r="Z148" s="14"/>
      <c r="AA148" s="14"/>
      <c r="AB148" s="14"/>
      <c r="AC148" s="14"/>
      <c r="AD148" s="16" t="s">
        <v>1445</v>
      </c>
      <c r="AE148" s="16" t="s">
        <v>1446</v>
      </c>
      <c r="AF148" s="14"/>
      <c r="AG148" s="14" t="s">
        <v>1447</v>
      </c>
      <c r="AH148" s="14" t="s">
        <v>549</v>
      </c>
    </row>
    <row r="149" customFormat="false" ht="15" hidden="false" customHeight="false" outlineLevel="0" collapsed="false">
      <c r="A149" s="14" t="s">
        <v>1448</v>
      </c>
      <c r="B149" s="14" t="s">
        <v>1449</v>
      </c>
      <c r="C149" s="14" t="s">
        <v>494</v>
      </c>
      <c r="D149" s="14" t="s">
        <v>1450</v>
      </c>
      <c r="E149" s="14" t="s">
        <v>6</v>
      </c>
      <c r="F149" s="14" t="s">
        <v>1451</v>
      </c>
      <c r="G149" s="15" t="s">
        <v>538</v>
      </c>
      <c r="H149" s="14" t="s">
        <v>539</v>
      </c>
      <c r="I149" s="14" t="s">
        <v>210</v>
      </c>
      <c r="J149" s="14" t="s">
        <v>199</v>
      </c>
      <c r="K149" s="14" t="s">
        <v>1226</v>
      </c>
      <c r="L149" s="15" t="s">
        <v>91</v>
      </c>
      <c r="M149" s="14" t="s">
        <v>1452</v>
      </c>
      <c r="N149" s="16" t="s">
        <v>1453</v>
      </c>
      <c r="O149" s="15"/>
      <c r="P149" s="15" t="n">
        <v>1970</v>
      </c>
      <c r="Q149" s="15" t="n">
        <f aca="false">IFERROR(VLOOKUP(J149,Parametros!$A$5:$B$9,2,FALSE()),0)</f>
        <v>1</v>
      </c>
      <c r="R149" s="15" t="n">
        <f aca="false">IFERROR(VLOOKUP(H149,Parametros!$D$5:$E$23,2,FALSE()),1)</f>
        <v>1</v>
      </c>
      <c r="S149" s="15" t="n">
        <f aca="false">IF(OR(N(O149)&gt;=Parametros!$H$9,AND(N(P149)&gt;0,N(P149)&lt;=Parametros!$H$10)),1,0)</f>
        <v>1</v>
      </c>
      <c r="T149" s="15" t="n">
        <f aca="false">Q149+R149+S149</f>
        <v>3</v>
      </c>
      <c r="U149" s="15" t="str">
        <f aca="false">IF(OR(V149="Inactive",V149="No encontrada",V149="Duplicado"),"Descartada",IF(AND(T149&gt;=Parametros!$H$5,S149=1),"A",IF(T149&gt;=Parametros!$H$6,"B","C")))</f>
        <v>C</v>
      </c>
      <c r="V149" s="17" t="s">
        <v>94</v>
      </c>
      <c r="W149" s="17"/>
      <c r="X149" s="14" t="s">
        <v>1454</v>
      </c>
      <c r="Y149" s="14" t="s">
        <v>1455</v>
      </c>
      <c r="Z149" s="14" t="s">
        <v>1456</v>
      </c>
      <c r="AA149" s="14"/>
      <c r="AB149" s="16" t="s">
        <v>1457</v>
      </c>
      <c r="AC149" s="14"/>
      <c r="AD149" s="16" t="s">
        <v>1453</v>
      </c>
      <c r="AE149" s="16" t="s">
        <v>1458</v>
      </c>
      <c r="AF149" s="14"/>
      <c r="AG149" s="14"/>
      <c r="AH149" s="14" t="s">
        <v>549</v>
      </c>
    </row>
    <row r="150" customFormat="false" ht="15" hidden="false" customHeight="false" outlineLevel="0" collapsed="false">
      <c r="A150" s="14" t="s">
        <v>1459</v>
      </c>
      <c r="B150" s="14" t="s">
        <v>1460</v>
      </c>
      <c r="C150" s="14" t="s">
        <v>494</v>
      </c>
      <c r="D150" s="14" t="s">
        <v>1450</v>
      </c>
      <c r="E150" s="14" t="s">
        <v>6</v>
      </c>
      <c r="F150" s="14" t="s">
        <v>1461</v>
      </c>
      <c r="G150" s="15" t="s">
        <v>224</v>
      </c>
      <c r="H150" s="14" t="s">
        <v>225</v>
      </c>
      <c r="I150" s="14" t="s">
        <v>210</v>
      </c>
      <c r="J150" s="14" t="s">
        <v>8</v>
      </c>
      <c r="K150" s="14" t="s">
        <v>61</v>
      </c>
      <c r="L150" s="15" t="s">
        <v>91</v>
      </c>
      <c r="M150" s="14" t="s">
        <v>1462</v>
      </c>
      <c r="N150" s="16" t="s">
        <v>1463</v>
      </c>
      <c r="O150" s="15"/>
      <c r="P150" s="15"/>
      <c r="Q150" s="15" t="n">
        <f aca="false">IFERROR(VLOOKUP(J150,Parametros!$A$5:$B$9,2,FALSE()),0)</f>
        <v>3</v>
      </c>
      <c r="R150" s="15" t="n">
        <f aca="false">IFERROR(VLOOKUP(H150,Parametros!$D$5:$E$23,2,FALSE()),1)</f>
        <v>2</v>
      </c>
      <c r="S150" s="15" t="n">
        <f aca="false">IF(OR(N(O150)&gt;=Parametros!$H$9,AND(N(P150)&gt;0,N(P150)&lt;=Parametros!$H$10)),1,0)</f>
        <v>0</v>
      </c>
      <c r="T150" s="15" t="n">
        <f aca="false">Q150+R150+S150</f>
        <v>5</v>
      </c>
      <c r="U150" s="15" t="str">
        <f aca="false">IF(OR(V150="Inactive",V150="No encontrada",V150="Duplicado"),"Descartada",IF(AND(T150&gt;=Parametros!$H$5,S150=1),"A",IF(T150&gt;=Parametros!$H$6,"B","C")))</f>
        <v>B</v>
      </c>
      <c r="V150" s="17" t="s">
        <v>94</v>
      </c>
      <c r="W150" s="17"/>
      <c r="X150" s="14" t="s">
        <v>1464</v>
      </c>
      <c r="Y150" s="14" t="s">
        <v>1465</v>
      </c>
      <c r="Z150" s="14"/>
      <c r="AA150" s="14"/>
      <c r="AB150" s="14"/>
      <c r="AC150" s="14"/>
      <c r="AD150" s="16" t="s">
        <v>1463</v>
      </c>
      <c r="AE150" s="16" t="s">
        <v>1466</v>
      </c>
      <c r="AF150" s="14"/>
      <c r="AG150" s="14" t="s">
        <v>100</v>
      </c>
      <c r="AH150" s="14" t="s">
        <v>232</v>
      </c>
    </row>
    <row r="151" customFormat="false" ht="23.85" hidden="false" customHeight="false" outlineLevel="0" collapsed="false">
      <c r="A151" s="14" t="s">
        <v>1467</v>
      </c>
      <c r="B151" s="14" t="s">
        <v>1468</v>
      </c>
      <c r="C151" s="14" t="s">
        <v>658</v>
      </c>
      <c r="D151" s="14"/>
      <c r="E151" s="14" t="s">
        <v>6</v>
      </c>
      <c r="F151" s="14" t="s">
        <v>1469</v>
      </c>
      <c r="G151" s="15" t="s">
        <v>538</v>
      </c>
      <c r="H151" s="14" t="s">
        <v>539</v>
      </c>
      <c r="I151" s="14" t="s">
        <v>210</v>
      </c>
      <c r="J151" s="14" t="s">
        <v>235</v>
      </c>
      <c r="K151" s="14" t="s">
        <v>61</v>
      </c>
      <c r="L151" s="15" t="s">
        <v>91</v>
      </c>
      <c r="M151" s="14" t="s">
        <v>1470</v>
      </c>
      <c r="N151" s="16" t="s">
        <v>1471</v>
      </c>
      <c r="O151" s="15"/>
      <c r="P151" s="15" t="n">
        <v>1970</v>
      </c>
      <c r="Q151" s="15" t="n">
        <f aca="false">IFERROR(VLOOKUP(J151,Parametros!$A$5:$B$9,2,FALSE()),0)</f>
        <v>2</v>
      </c>
      <c r="R151" s="15" t="n">
        <f aca="false">IFERROR(VLOOKUP(H151,Parametros!$D$5:$E$23,2,FALSE()),1)</f>
        <v>1</v>
      </c>
      <c r="S151" s="15" t="n">
        <f aca="false">IF(OR(N(O151)&gt;=Parametros!$H$9,AND(N(P151)&gt;0,N(P151)&lt;=Parametros!$H$10)),1,0)</f>
        <v>1</v>
      </c>
      <c r="T151" s="15" t="n">
        <f aca="false">Q151+R151+S151</f>
        <v>4</v>
      </c>
      <c r="U151" s="15" t="str">
        <f aca="false">IF(OR(V151="Inactive",V151="No encontrada",V151="Duplicado"),"Descartada",IF(AND(T151&gt;=Parametros!$H$5,S151=1),"A",IF(T151&gt;=Parametros!$H$6,"B","C")))</f>
        <v>B</v>
      </c>
      <c r="V151" s="17" t="s">
        <v>94</v>
      </c>
      <c r="W151" s="17"/>
      <c r="X151" s="14" t="s">
        <v>1472</v>
      </c>
      <c r="Y151" s="14" t="s">
        <v>1473</v>
      </c>
      <c r="Z151" s="14" t="s">
        <v>1474</v>
      </c>
      <c r="AA151" s="14"/>
      <c r="AB151" s="14"/>
      <c r="AC151" s="14"/>
      <c r="AD151" s="16" t="s">
        <v>1471</v>
      </c>
      <c r="AE151" s="16" t="s">
        <v>1471</v>
      </c>
      <c r="AF151" s="14"/>
      <c r="AG151" s="14"/>
      <c r="AH151" s="14" t="s">
        <v>549</v>
      </c>
    </row>
    <row r="152" customFormat="false" ht="15" hidden="false" customHeight="false" outlineLevel="0" collapsed="false">
      <c r="A152" s="14" t="s">
        <v>1475</v>
      </c>
      <c r="B152" s="14" t="s">
        <v>1476</v>
      </c>
      <c r="C152" s="14" t="s">
        <v>658</v>
      </c>
      <c r="D152" s="14"/>
      <c r="E152" s="14" t="s">
        <v>6</v>
      </c>
      <c r="F152" s="14" t="s">
        <v>1312</v>
      </c>
      <c r="G152" s="15" t="s">
        <v>538</v>
      </c>
      <c r="H152" s="14" t="s">
        <v>539</v>
      </c>
      <c r="I152" s="14" t="s">
        <v>210</v>
      </c>
      <c r="J152" s="14" t="s">
        <v>235</v>
      </c>
      <c r="K152" s="14" t="s">
        <v>61</v>
      </c>
      <c r="L152" s="15" t="s">
        <v>91</v>
      </c>
      <c r="M152" s="14" t="s">
        <v>1477</v>
      </c>
      <c r="N152" s="16" t="s">
        <v>1478</v>
      </c>
      <c r="O152" s="15"/>
      <c r="P152" s="15" t="n">
        <v>1962</v>
      </c>
      <c r="Q152" s="15" t="n">
        <f aca="false">IFERROR(VLOOKUP(J152,Parametros!$A$5:$B$9,2,FALSE()),0)</f>
        <v>2</v>
      </c>
      <c r="R152" s="15" t="n">
        <f aca="false">IFERROR(VLOOKUP(H152,Parametros!$D$5:$E$23,2,FALSE()),1)</f>
        <v>1</v>
      </c>
      <c r="S152" s="15" t="n">
        <f aca="false">IF(OR(N(O152)&gt;=Parametros!$H$9,AND(N(P152)&gt;0,N(P152)&lt;=Parametros!$H$10)),1,0)</f>
        <v>1</v>
      </c>
      <c r="T152" s="15" t="n">
        <f aca="false">Q152+R152+S152</f>
        <v>4</v>
      </c>
      <c r="U152" s="15" t="str">
        <f aca="false">IF(OR(V152="Inactive",V152="No encontrada",V152="Duplicado"),"Descartada",IF(AND(T152&gt;=Parametros!$H$5,S152=1),"A",IF(T152&gt;=Parametros!$H$6,"B","C")))</f>
        <v>B</v>
      </c>
      <c r="V152" s="17" t="s">
        <v>94</v>
      </c>
      <c r="W152" s="17"/>
      <c r="X152" s="14" t="s">
        <v>1479</v>
      </c>
      <c r="Y152" s="14" t="s">
        <v>1480</v>
      </c>
      <c r="Z152" s="14" t="s">
        <v>1481</v>
      </c>
      <c r="AA152" s="14"/>
      <c r="AB152" s="14"/>
      <c r="AC152" s="14"/>
      <c r="AD152" s="16" t="s">
        <v>1478</v>
      </c>
      <c r="AE152" s="16" t="s">
        <v>1482</v>
      </c>
      <c r="AF152" s="14"/>
      <c r="AG152" s="14" t="s">
        <v>1483</v>
      </c>
      <c r="AH152" s="14" t="s">
        <v>549</v>
      </c>
    </row>
    <row r="153" customFormat="false" ht="15" hidden="false" customHeight="false" outlineLevel="0" collapsed="false">
      <c r="A153" s="14" t="s">
        <v>1484</v>
      </c>
      <c r="B153" s="14" t="s">
        <v>1485</v>
      </c>
      <c r="C153" s="14" t="s">
        <v>658</v>
      </c>
      <c r="D153" s="14"/>
      <c r="E153" s="14" t="s">
        <v>6</v>
      </c>
      <c r="F153" s="14" t="s">
        <v>1486</v>
      </c>
      <c r="G153" s="15" t="s">
        <v>224</v>
      </c>
      <c r="H153" s="14" t="s">
        <v>225</v>
      </c>
      <c r="I153" s="14" t="s">
        <v>210</v>
      </c>
      <c r="J153" s="14" t="s">
        <v>8</v>
      </c>
      <c r="K153" s="14" t="s">
        <v>90</v>
      </c>
      <c r="L153" s="15" t="s">
        <v>91</v>
      </c>
      <c r="M153" s="14" t="s">
        <v>1487</v>
      </c>
      <c r="N153" s="16" t="s">
        <v>1488</v>
      </c>
      <c r="O153" s="15"/>
      <c r="P153" s="15" t="n">
        <v>1986</v>
      </c>
      <c r="Q153" s="15" t="n">
        <f aca="false">IFERROR(VLOOKUP(J153,Parametros!$A$5:$B$9,2,FALSE()),0)</f>
        <v>3</v>
      </c>
      <c r="R153" s="15" t="n">
        <f aca="false">IFERROR(VLOOKUP(H153,Parametros!$D$5:$E$23,2,FALSE()),1)</f>
        <v>2</v>
      </c>
      <c r="S153" s="15" t="n">
        <f aca="false">IF(OR(N(O153)&gt;=Parametros!$H$9,AND(N(P153)&gt;0,N(P153)&lt;=Parametros!$H$10)),1,0)</f>
        <v>1</v>
      </c>
      <c r="T153" s="15" t="n">
        <f aca="false">Q153+R153+S153</f>
        <v>6</v>
      </c>
      <c r="U153" s="15" t="str">
        <f aca="false">IF(OR(V153="Inactive",V153="No encontrada",V153="Duplicado"),"Descartada",IF(AND(T153&gt;=Parametros!$H$5,S153=1),"A",IF(T153&gt;=Parametros!$H$6,"B","C")))</f>
        <v>A</v>
      </c>
      <c r="V153" s="17" t="s">
        <v>94</v>
      </c>
      <c r="W153" s="17"/>
      <c r="X153" s="14" t="s">
        <v>1489</v>
      </c>
      <c r="Y153" s="14" t="s">
        <v>1490</v>
      </c>
      <c r="Z153" s="14"/>
      <c r="AA153" s="16" t="s">
        <v>1491</v>
      </c>
      <c r="AB153" s="14"/>
      <c r="AC153" s="14"/>
      <c r="AD153" s="16" t="s">
        <v>1488</v>
      </c>
      <c r="AE153" s="16" t="s">
        <v>1492</v>
      </c>
      <c r="AF153" s="14"/>
      <c r="AG153" s="14" t="s">
        <v>100</v>
      </c>
      <c r="AH153" s="14" t="s">
        <v>667</v>
      </c>
    </row>
    <row r="154" customFormat="false" ht="23.85" hidden="false" customHeight="false" outlineLevel="0" collapsed="false">
      <c r="A154" s="14" t="s">
        <v>1493</v>
      </c>
      <c r="B154" s="14" t="s">
        <v>1494</v>
      </c>
      <c r="C154" s="14" t="s">
        <v>658</v>
      </c>
      <c r="D154" s="14"/>
      <c r="E154" s="14" t="s">
        <v>6</v>
      </c>
      <c r="F154" s="14" t="s">
        <v>1495</v>
      </c>
      <c r="G154" s="15" t="s">
        <v>224</v>
      </c>
      <c r="H154" s="14" t="s">
        <v>225</v>
      </c>
      <c r="I154" s="14" t="s">
        <v>210</v>
      </c>
      <c r="J154" s="14" t="s">
        <v>235</v>
      </c>
      <c r="K154" s="14" t="s">
        <v>90</v>
      </c>
      <c r="L154" s="15" t="s">
        <v>91</v>
      </c>
      <c r="M154" s="14" t="s">
        <v>1496</v>
      </c>
      <c r="N154" s="16" t="s">
        <v>1497</v>
      </c>
      <c r="O154" s="15"/>
      <c r="P154" s="15" t="n">
        <v>1953</v>
      </c>
      <c r="Q154" s="15" t="n">
        <f aca="false">IFERROR(VLOOKUP(J154,Parametros!$A$5:$B$9,2,FALSE()),0)</f>
        <v>2</v>
      </c>
      <c r="R154" s="15" t="n">
        <f aca="false">IFERROR(VLOOKUP(H154,Parametros!$D$5:$E$23,2,FALSE()),1)</f>
        <v>2</v>
      </c>
      <c r="S154" s="15" t="n">
        <f aca="false">IF(OR(N(O154)&gt;=Parametros!$H$9,AND(N(P154)&gt;0,N(P154)&lt;=Parametros!$H$10)),1,0)</f>
        <v>1</v>
      </c>
      <c r="T154" s="15" t="n">
        <f aca="false">Q154+R154+S154</f>
        <v>5</v>
      </c>
      <c r="U154" s="15" t="str">
        <f aca="false">IF(OR(V154="Inactive",V154="No encontrada",V154="Duplicado"),"Descartada",IF(AND(T154&gt;=Parametros!$H$5,S154=1),"A",IF(T154&gt;=Parametros!$H$6,"B","C")))</f>
        <v>B</v>
      </c>
      <c r="V154" s="17" t="s">
        <v>94</v>
      </c>
      <c r="W154" s="17"/>
      <c r="X154" s="14" t="s">
        <v>1498</v>
      </c>
      <c r="Y154" s="14" t="s">
        <v>1499</v>
      </c>
      <c r="Z154" s="14" t="s">
        <v>1500</v>
      </c>
      <c r="AA154" s="16" t="s">
        <v>1501</v>
      </c>
      <c r="AB154" s="14"/>
      <c r="AC154" s="14"/>
      <c r="AD154" s="16" t="s">
        <v>1497</v>
      </c>
      <c r="AE154" s="16" t="s">
        <v>1502</v>
      </c>
      <c r="AF154" s="14"/>
      <c r="AG154" s="14"/>
      <c r="AH154" s="14" t="s">
        <v>667</v>
      </c>
    </row>
    <row r="155" customFormat="false" ht="15" hidden="false" customHeight="false" outlineLevel="0" collapsed="false">
      <c r="A155" s="14" t="s">
        <v>1503</v>
      </c>
      <c r="B155" s="14" t="s">
        <v>1504</v>
      </c>
      <c r="C155" s="14" t="s">
        <v>658</v>
      </c>
      <c r="D155" s="14"/>
      <c r="E155" s="14" t="s">
        <v>6</v>
      </c>
      <c r="F155" s="14" t="s">
        <v>1505</v>
      </c>
      <c r="G155" s="15" t="s">
        <v>538</v>
      </c>
      <c r="H155" s="14" t="s">
        <v>539</v>
      </c>
      <c r="I155" s="14" t="s">
        <v>210</v>
      </c>
      <c r="J155" s="14" t="s">
        <v>199</v>
      </c>
      <c r="K155" s="14" t="s">
        <v>73</v>
      </c>
      <c r="L155" s="15" t="s">
        <v>74</v>
      </c>
      <c r="M155" s="14" t="s">
        <v>1506</v>
      </c>
      <c r="N155" s="16" t="s">
        <v>1507</v>
      </c>
      <c r="O155" s="15"/>
      <c r="P155" s="15" t="n">
        <v>1995</v>
      </c>
      <c r="Q155" s="15" t="n">
        <f aca="false">IFERROR(VLOOKUP(J155,Parametros!$A$5:$B$9,2,FALSE()),0)</f>
        <v>1</v>
      </c>
      <c r="R155" s="15" t="n">
        <f aca="false">IFERROR(VLOOKUP(H155,Parametros!$D$5:$E$23,2,FALSE()),1)</f>
        <v>1</v>
      </c>
      <c r="S155" s="15" t="n">
        <f aca="false">IF(OR(N(O155)&gt;=Parametros!$H$9,AND(N(P155)&gt;0,N(P155)&lt;=Parametros!$H$10)),1,0)</f>
        <v>1</v>
      </c>
      <c r="T155" s="15" t="n">
        <f aca="false">Q155+R155+S155</f>
        <v>3</v>
      </c>
      <c r="U155" s="15" t="str">
        <f aca="false">IF(OR(V155="Inactive",V155="No encontrada",V155="Duplicado"),"Descartada",IF(AND(T155&gt;=Parametros!$H$5,S155=1),"A",IF(T155&gt;=Parametros!$H$6,"B","C")))</f>
        <v>C</v>
      </c>
      <c r="V155" s="17" t="s">
        <v>94</v>
      </c>
      <c r="W155" s="17"/>
      <c r="X155" s="14" t="s">
        <v>1508</v>
      </c>
      <c r="Y155" s="14"/>
      <c r="Z155" s="14" t="s">
        <v>1509</v>
      </c>
      <c r="AA155" s="14"/>
      <c r="AB155" s="14"/>
      <c r="AC155" s="14"/>
      <c r="AD155" s="14"/>
      <c r="AE155" s="16" t="s">
        <v>1507</v>
      </c>
      <c r="AF155" s="14"/>
      <c r="AG155" s="14"/>
      <c r="AH155" s="14" t="s">
        <v>1510</v>
      </c>
    </row>
    <row r="156" customFormat="false" ht="15" hidden="false" customHeight="false" outlineLevel="0" collapsed="false">
      <c r="A156" s="14" t="s">
        <v>1511</v>
      </c>
      <c r="B156" s="14" t="s">
        <v>1512</v>
      </c>
      <c r="C156" s="14" t="s">
        <v>1025</v>
      </c>
      <c r="D156" s="14"/>
      <c r="E156" s="14" t="s">
        <v>9</v>
      </c>
      <c r="F156" s="14" t="s">
        <v>1513</v>
      </c>
      <c r="G156" s="15" t="s">
        <v>538</v>
      </c>
      <c r="H156" s="14" t="s">
        <v>539</v>
      </c>
      <c r="I156" s="14" t="s">
        <v>72</v>
      </c>
      <c r="J156" s="14" t="s">
        <v>148</v>
      </c>
      <c r="K156" s="14" t="s">
        <v>90</v>
      </c>
      <c r="L156" s="15" t="s">
        <v>91</v>
      </c>
      <c r="M156" s="14" t="s">
        <v>1514</v>
      </c>
      <c r="N156" s="16" t="s">
        <v>1515</v>
      </c>
      <c r="O156" s="15"/>
      <c r="P156" s="15" t="n">
        <v>1993</v>
      </c>
      <c r="Q156" s="15" t="n">
        <f aca="false">IFERROR(VLOOKUP(J156,Parametros!$A$5:$B$9,2,FALSE()),0)</f>
        <v>3</v>
      </c>
      <c r="R156" s="15" t="n">
        <f aca="false">IFERROR(VLOOKUP(H156,Parametros!$D$5:$E$23,2,FALSE()),1)</f>
        <v>1</v>
      </c>
      <c r="S156" s="15" t="n">
        <f aca="false">IF(OR(N(O156)&gt;=Parametros!$H$9,AND(N(P156)&gt;0,N(P156)&lt;=Parametros!$H$10)),1,0)</f>
        <v>1</v>
      </c>
      <c r="T156" s="15" t="n">
        <f aca="false">Q156+R156+S156</f>
        <v>5</v>
      </c>
      <c r="U156" s="15" t="str">
        <f aca="false">IF(OR(V156="Inactive",V156="No encontrada",V156="Duplicado"),"Descartada",IF(AND(T156&gt;=Parametros!$H$5,S156=1),"A",IF(T156&gt;=Parametros!$H$6,"B","C")))</f>
        <v>B</v>
      </c>
      <c r="V156" s="17" t="s">
        <v>94</v>
      </c>
      <c r="W156" s="17"/>
      <c r="X156" s="14" t="s">
        <v>1516</v>
      </c>
      <c r="Y156" s="14" t="s">
        <v>1517</v>
      </c>
      <c r="Z156" s="14" t="s">
        <v>1518</v>
      </c>
      <c r="AA156" s="16" t="s">
        <v>1519</v>
      </c>
      <c r="AB156" s="14"/>
      <c r="AC156" s="14"/>
      <c r="AD156" s="16" t="s">
        <v>1515</v>
      </c>
      <c r="AE156" s="16" t="s">
        <v>1520</v>
      </c>
      <c r="AF156" s="14"/>
      <c r="AG156" s="14"/>
      <c r="AH156" s="14" t="s">
        <v>207</v>
      </c>
    </row>
    <row r="157" customFormat="false" ht="15" hidden="false" customHeight="false" outlineLevel="0" collapsed="false">
      <c r="A157" s="14" t="s">
        <v>1521</v>
      </c>
      <c r="B157" s="14" t="s">
        <v>1522</v>
      </c>
      <c r="C157" s="14" t="s">
        <v>1025</v>
      </c>
      <c r="D157" s="14"/>
      <c r="E157" s="14" t="s">
        <v>9</v>
      </c>
      <c r="F157" s="14" t="s">
        <v>1523</v>
      </c>
      <c r="G157" s="15" t="s">
        <v>224</v>
      </c>
      <c r="H157" s="14" t="s">
        <v>225</v>
      </c>
      <c r="I157" s="14" t="s">
        <v>210</v>
      </c>
      <c r="J157" s="14" t="s">
        <v>8</v>
      </c>
      <c r="K157" s="14" t="s">
        <v>90</v>
      </c>
      <c r="L157" s="15" t="s">
        <v>91</v>
      </c>
      <c r="M157" s="14" t="s">
        <v>1524</v>
      </c>
      <c r="N157" s="16" t="s">
        <v>1525</v>
      </c>
      <c r="O157" s="15"/>
      <c r="P157" s="15"/>
      <c r="Q157" s="15" t="n">
        <f aca="false">IFERROR(VLOOKUP(J157,Parametros!$A$5:$B$9,2,FALSE()),0)</f>
        <v>3</v>
      </c>
      <c r="R157" s="15" t="n">
        <f aca="false">IFERROR(VLOOKUP(H157,Parametros!$D$5:$E$23,2,FALSE()),1)</f>
        <v>2</v>
      </c>
      <c r="S157" s="15" t="n">
        <f aca="false">IF(OR(N(O157)&gt;=Parametros!$H$9,AND(N(P157)&gt;0,N(P157)&lt;=Parametros!$H$10)),1,0)</f>
        <v>0</v>
      </c>
      <c r="T157" s="15" t="n">
        <f aca="false">Q157+R157+S157</f>
        <v>5</v>
      </c>
      <c r="U157" s="15" t="str">
        <f aca="false">IF(OR(V157="Inactive",V157="No encontrada",V157="Duplicado"),"Descartada",IF(AND(T157&gt;=Parametros!$H$5,S157=1),"A",IF(T157&gt;=Parametros!$H$6,"B","C")))</f>
        <v>B</v>
      </c>
      <c r="V157" s="17" t="s">
        <v>94</v>
      </c>
      <c r="W157" s="17"/>
      <c r="X157" s="14" t="s">
        <v>1526</v>
      </c>
      <c r="Y157" s="14" t="s">
        <v>1527</v>
      </c>
      <c r="Z157" s="14"/>
      <c r="AA157" s="16" t="s">
        <v>1528</v>
      </c>
      <c r="AB157" s="14"/>
      <c r="AC157" s="14"/>
      <c r="AD157" s="16" t="s">
        <v>1525</v>
      </c>
      <c r="AE157" s="16" t="s">
        <v>1529</v>
      </c>
      <c r="AF157" s="14"/>
      <c r="AG157" s="14" t="s">
        <v>100</v>
      </c>
      <c r="AH157" s="14" t="s">
        <v>1325</v>
      </c>
    </row>
    <row r="158" customFormat="false" ht="15" hidden="false" customHeight="false" outlineLevel="0" collapsed="false">
      <c r="A158" s="14" t="s">
        <v>1530</v>
      </c>
      <c r="B158" s="14" t="s">
        <v>1531</v>
      </c>
      <c r="C158" s="14" t="s">
        <v>1025</v>
      </c>
      <c r="D158" s="14"/>
      <c r="E158" s="14" t="s">
        <v>9</v>
      </c>
      <c r="F158" s="14" t="s">
        <v>1532</v>
      </c>
      <c r="G158" s="15" t="s">
        <v>538</v>
      </c>
      <c r="H158" s="14" t="s">
        <v>539</v>
      </c>
      <c r="I158" s="14" t="s">
        <v>210</v>
      </c>
      <c r="J158" s="14" t="s">
        <v>148</v>
      </c>
      <c r="K158" s="14" t="s">
        <v>73</v>
      </c>
      <c r="L158" s="15" t="s">
        <v>74</v>
      </c>
      <c r="M158" s="14" t="s">
        <v>1533</v>
      </c>
      <c r="N158" s="16" t="s">
        <v>1534</v>
      </c>
      <c r="O158" s="15"/>
      <c r="P158" s="15"/>
      <c r="Q158" s="15" t="n">
        <f aca="false">IFERROR(VLOOKUP(J158,Parametros!$A$5:$B$9,2,FALSE()),0)</f>
        <v>3</v>
      </c>
      <c r="R158" s="15" t="n">
        <f aca="false">IFERROR(VLOOKUP(H158,Parametros!$D$5:$E$23,2,FALSE()),1)</f>
        <v>1</v>
      </c>
      <c r="S158" s="15" t="n">
        <f aca="false">IF(OR(N(O158)&gt;=Parametros!$H$9,AND(N(P158)&gt;0,N(P158)&lt;=Parametros!$H$10)),1,0)</f>
        <v>0</v>
      </c>
      <c r="T158" s="15" t="n">
        <f aca="false">Q158+R158+S158</f>
        <v>4</v>
      </c>
      <c r="U158" s="15" t="str">
        <f aca="false">IF(OR(V158="Inactive",V158="No encontrada",V158="Duplicado"),"Descartada",IF(AND(T158&gt;=Parametros!$H$5,S158=1),"A",IF(T158&gt;=Parametros!$H$6,"B","C")))</f>
        <v>B</v>
      </c>
      <c r="V158" s="17" t="s">
        <v>94</v>
      </c>
      <c r="W158" s="17"/>
      <c r="X158" s="14"/>
      <c r="Y158" s="14" t="s">
        <v>1535</v>
      </c>
      <c r="Z158" s="14" t="s">
        <v>1536</v>
      </c>
      <c r="AA158" s="14"/>
      <c r="AB158" s="14"/>
      <c r="AC158" s="14"/>
      <c r="AD158" s="14"/>
      <c r="AE158" s="16" t="s">
        <v>1537</v>
      </c>
      <c r="AF158" s="14"/>
      <c r="AG158" s="14" t="s">
        <v>1538</v>
      </c>
      <c r="AH158" s="14" t="s">
        <v>1510</v>
      </c>
    </row>
    <row r="159" customFormat="false" ht="15" hidden="false" customHeight="false" outlineLevel="0" collapsed="false">
      <c r="A159" s="14" t="s">
        <v>1539</v>
      </c>
      <c r="B159" s="14" t="s">
        <v>1540</v>
      </c>
      <c r="C159" s="14" t="s">
        <v>1025</v>
      </c>
      <c r="D159" s="14"/>
      <c r="E159" s="14" t="s">
        <v>9</v>
      </c>
      <c r="F159" s="14" t="s">
        <v>1541</v>
      </c>
      <c r="G159" s="15" t="s">
        <v>538</v>
      </c>
      <c r="H159" s="14" t="s">
        <v>539</v>
      </c>
      <c r="I159" s="14" t="s">
        <v>210</v>
      </c>
      <c r="J159" s="14" t="s">
        <v>199</v>
      </c>
      <c r="K159" s="14" t="s">
        <v>90</v>
      </c>
      <c r="L159" s="15" t="s">
        <v>91</v>
      </c>
      <c r="M159" s="14" t="s">
        <v>1542</v>
      </c>
      <c r="N159" s="16" t="s">
        <v>1543</v>
      </c>
      <c r="O159" s="15"/>
      <c r="P159" s="15"/>
      <c r="Q159" s="15" t="n">
        <f aca="false">IFERROR(VLOOKUP(J159,Parametros!$A$5:$B$9,2,FALSE()),0)</f>
        <v>1</v>
      </c>
      <c r="R159" s="15" t="n">
        <f aca="false">IFERROR(VLOOKUP(H159,Parametros!$D$5:$E$23,2,FALSE()),1)</f>
        <v>1</v>
      </c>
      <c r="S159" s="15" t="n">
        <f aca="false">IF(OR(N(O159)&gt;=Parametros!$H$9,AND(N(P159)&gt;0,N(P159)&lt;=Parametros!$H$10)),1,0)</f>
        <v>0</v>
      </c>
      <c r="T159" s="15" t="n">
        <f aca="false">Q159+R159+S159</f>
        <v>2</v>
      </c>
      <c r="U159" s="15" t="str">
        <f aca="false">IF(OR(V159="Inactive",V159="No encontrada",V159="Duplicado"),"Descartada",IF(AND(T159&gt;=Parametros!$H$5,S159=1),"A",IF(T159&gt;=Parametros!$H$6,"B","C")))</f>
        <v>C</v>
      </c>
      <c r="V159" s="17" t="s">
        <v>94</v>
      </c>
      <c r="W159" s="17"/>
      <c r="X159" s="14" t="s">
        <v>1544</v>
      </c>
      <c r="Y159" s="14" t="s">
        <v>1545</v>
      </c>
      <c r="Z159" s="14" t="s">
        <v>1546</v>
      </c>
      <c r="AA159" s="16" t="s">
        <v>1547</v>
      </c>
      <c r="AB159" s="14"/>
      <c r="AC159" s="14"/>
      <c r="AD159" s="16" t="s">
        <v>1543</v>
      </c>
      <c r="AE159" s="16" t="s">
        <v>1548</v>
      </c>
      <c r="AF159" s="14"/>
      <c r="AG159" s="14"/>
      <c r="AH159" s="14" t="s">
        <v>1510</v>
      </c>
    </row>
    <row r="160" customFormat="false" ht="15" hidden="false" customHeight="false" outlineLevel="0" collapsed="false">
      <c r="A160" s="14" t="s">
        <v>1549</v>
      </c>
      <c r="B160" s="14" t="s">
        <v>1550</v>
      </c>
      <c r="C160" s="14" t="s">
        <v>1025</v>
      </c>
      <c r="D160" s="14"/>
      <c r="E160" s="14" t="s">
        <v>9</v>
      </c>
      <c r="F160" s="14" t="s">
        <v>1551</v>
      </c>
      <c r="G160" s="15" t="s">
        <v>224</v>
      </c>
      <c r="H160" s="14" t="s">
        <v>225</v>
      </c>
      <c r="I160" s="14" t="s">
        <v>210</v>
      </c>
      <c r="J160" s="14" t="s">
        <v>235</v>
      </c>
      <c r="K160" s="14" t="s">
        <v>90</v>
      </c>
      <c r="L160" s="15" t="s">
        <v>91</v>
      </c>
      <c r="M160" s="14" t="s">
        <v>1552</v>
      </c>
      <c r="N160" s="16" t="s">
        <v>1553</v>
      </c>
      <c r="O160" s="15"/>
      <c r="P160" s="15" t="n">
        <v>2005</v>
      </c>
      <c r="Q160" s="15" t="n">
        <f aca="false">IFERROR(VLOOKUP(J160,Parametros!$A$5:$B$9,2,FALSE()),0)</f>
        <v>2</v>
      </c>
      <c r="R160" s="15" t="n">
        <f aca="false">IFERROR(VLOOKUP(H160,Parametros!$D$5:$E$23,2,FALSE()),1)</f>
        <v>2</v>
      </c>
      <c r="S160" s="15" t="n">
        <f aca="false">IF(OR(N(O160)&gt;=Parametros!$H$9,AND(N(P160)&gt;0,N(P160)&lt;=Parametros!$H$10)),1,0)</f>
        <v>0</v>
      </c>
      <c r="T160" s="15" t="n">
        <f aca="false">Q160+R160+S160</f>
        <v>4</v>
      </c>
      <c r="U160" s="15" t="str">
        <f aca="false">IF(OR(V160="Inactive",V160="No encontrada",V160="Duplicado"),"Descartada",IF(AND(T160&gt;=Parametros!$H$5,S160=1),"A",IF(T160&gt;=Parametros!$H$6,"B","C")))</f>
        <v>B</v>
      </c>
      <c r="V160" s="17" t="s">
        <v>94</v>
      </c>
      <c r="W160" s="17"/>
      <c r="X160" s="14" t="s">
        <v>1554</v>
      </c>
      <c r="Y160" s="14" t="s">
        <v>1555</v>
      </c>
      <c r="Z160" s="14" t="s">
        <v>1556</v>
      </c>
      <c r="AA160" s="16" t="s">
        <v>1557</v>
      </c>
      <c r="AB160" s="14"/>
      <c r="AC160" s="14"/>
      <c r="AD160" s="16" t="s">
        <v>1558</v>
      </c>
      <c r="AE160" s="16" t="s">
        <v>1558</v>
      </c>
      <c r="AF160" s="14"/>
      <c r="AG160" s="14" t="s">
        <v>1559</v>
      </c>
      <c r="AH160" s="14" t="s">
        <v>232</v>
      </c>
    </row>
    <row r="161" customFormat="false" ht="15" hidden="false" customHeight="false" outlineLevel="0" collapsed="false">
      <c r="A161" s="14" t="s">
        <v>1560</v>
      </c>
      <c r="B161" s="14" t="s">
        <v>1561</v>
      </c>
      <c r="C161" s="14" t="s">
        <v>1562</v>
      </c>
      <c r="D161" s="14"/>
      <c r="E161" s="14" t="s">
        <v>9</v>
      </c>
      <c r="F161" s="14" t="s">
        <v>1563</v>
      </c>
      <c r="G161" s="15" t="s">
        <v>538</v>
      </c>
      <c r="H161" s="14" t="s">
        <v>539</v>
      </c>
      <c r="I161" s="14" t="s">
        <v>210</v>
      </c>
      <c r="J161" s="14" t="s">
        <v>199</v>
      </c>
      <c r="K161" s="14" t="s">
        <v>1226</v>
      </c>
      <c r="L161" s="15" t="s">
        <v>91</v>
      </c>
      <c r="M161" s="14" t="s">
        <v>1564</v>
      </c>
      <c r="N161" s="16" t="s">
        <v>1565</v>
      </c>
      <c r="O161" s="15"/>
      <c r="P161" s="15" t="n">
        <v>1966</v>
      </c>
      <c r="Q161" s="15" t="n">
        <f aca="false">IFERROR(VLOOKUP(J161,Parametros!$A$5:$B$9,2,FALSE()),0)</f>
        <v>1</v>
      </c>
      <c r="R161" s="15" t="n">
        <f aca="false">IFERROR(VLOOKUP(H161,Parametros!$D$5:$E$23,2,FALSE()),1)</f>
        <v>1</v>
      </c>
      <c r="S161" s="15" t="n">
        <f aca="false">IF(OR(N(O161)&gt;=Parametros!$H$9,AND(N(P161)&gt;0,N(P161)&lt;=Parametros!$H$10)),1,0)</f>
        <v>1</v>
      </c>
      <c r="T161" s="15" t="n">
        <f aca="false">Q161+R161+S161</f>
        <v>3</v>
      </c>
      <c r="U161" s="15" t="str">
        <f aca="false">IF(OR(V161="Inactive",V161="No encontrada",V161="Duplicado"),"Descartada",IF(AND(T161&gt;=Parametros!$H$5,S161=1),"A",IF(T161&gt;=Parametros!$H$6,"B","C")))</f>
        <v>C</v>
      </c>
      <c r="V161" s="17" t="s">
        <v>94</v>
      </c>
      <c r="W161" s="17"/>
      <c r="X161" s="14" t="s">
        <v>1566</v>
      </c>
      <c r="Y161" s="14" t="s">
        <v>1567</v>
      </c>
      <c r="Z161" s="14" t="s">
        <v>1568</v>
      </c>
      <c r="AA161" s="14"/>
      <c r="AB161" s="16" t="s">
        <v>1569</v>
      </c>
      <c r="AC161" s="14"/>
      <c r="AD161" s="16" t="s">
        <v>1565</v>
      </c>
      <c r="AE161" s="16" t="s">
        <v>1570</v>
      </c>
      <c r="AF161" s="14"/>
      <c r="AG161" s="14"/>
      <c r="AH161" s="14" t="s">
        <v>549</v>
      </c>
    </row>
    <row r="162" customFormat="false" ht="15" hidden="false" customHeight="false" outlineLevel="0" collapsed="false">
      <c r="A162" s="14" t="s">
        <v>1571</v>
      </c>
      <c r="B162" s="14" t="s">
        <v>1572</v>
      </c>
      <c r="C162" s="14" t="s">
        <v>670</v>
      </c>
      <c r="D162" s="14"/>
      <c r="E162" s="14" t="s">
        <v>9</v>
      </c>
      <c r="F162" s="14" t="s">
        <v>1573</v>
      </c>
      <c r="G162" s="15" t="s">
        <v>224</v>
      </c>
      <c r="H162" s="14" t="s">
        <v>225</v>
      </c>
      <c r="I162" s="14" t="s">
        <v>72</v>
      </c>
      <c r="J162" s="14" t="s">
        <v>199</v>
      </c>
      <c r="K162" s="14" t="s">
        <v>90</v>
      </c>
      <c r="L162" s="15" t="s">
        <v>91</v>
      </c>
      <c r="M162" s="14" t="s">
        <v>1574</v>
      </c>
      <c r="N162" s="16" t="s">
        <v>1575</v>
      </c>
      <c r="O162" s="15"/>
      <c r="P162" s="15" t="n">
        <v>1999</v>
      </c>
      <c r="Q162" s="15" t="n">
        <f aca="false">IFERROR(VLOOKUP(J162,Parametros!$A$5:$B$9,2,FALSE()),0)</f>
        <v>1</v>
      </c>
      <c r="R162" s="15" t="n">
        <f aca="false">IFERROR(VLOOKUP(H162,Parametros!$D$5:$E$23,2,FALSE()),1)</f>
        <v>2</v>
      </c>
      <c r="S162" s="15" t="n">
        <f aca="false">IF(OR(N(O162)&gt;=Parametros!$H$9,AND(N(P162)&gt;0,N(P162)&lt;=Parametros!$H$10)),1,0)</f>
        <v>1</v>
      </c>
      <c r="T162" s="15" t="n">
        <f aca="false">Q162+R162+S162</f>
        <v>4</v>
      </c>
      <c r="U162" s="15" t="str">
        <f aca="false">IF(OR(V162="Inactive",V162="No encontrada",V162="Duplicado"),"Descartada",IF(AND(T162&gt;=Parametros!$H$5,S162=1),"A",IF(T162&gt;=Parametros!$H$6,"B","C")))</f>
        <v>B</v>
      </c>
      <c r="V162" s="17" t="s">
        <v>94</v>
      </c>
      <c r="W162" s="17"/>
      <c r="X162" s="14" t="s">
        <v>1576</v>
      </c>
      <c r="Y162" s="14" t="s">
        <v>1577</v>
      </c>
      <c r="Z162" s="14" t="s">
        <v>1578</v>
      </c>
      <c r="AA162" s="16" t="s">
        <v>1579</v>
      </c>
      <c r="AB162" s="14"/>
      <c r="AC162" s="14"/>
      <c r="AD162" s="16" t="s">
        <v>1575</v>
      </c>
      <c r="AE162" s="16" t="s">
        <v>1580</v>
      </c>
      <c r="AF162" s="14"/>
      <c r="AG162" s="14"/>
      <c r="AH162" s="14" t="s">
        <v>1086</v>
      </c>
    </row>
    <row r="163" customFormat="false" ht="23.85" hidden="false" customHeight="false" outlineLevel="0" collapsed="false">
      <c r="A163" s="14" t="s">
        <v>1581</v>
      </c>
      <c r="B163" s="14" t="s">
        <v>1582</v>
      </c>
      <c r="C163" s="14" t="s">
        <v>670</v>
      </c>
      <c r="D163" s="14"/>
      <c r="E163" s="14" t="s">
        <v>9</v>
      </c>
      <c r="F163" s="14" t="s">
        <v>1583</v>
      </c>
      <c r="G163" s="15" t="s">
        <v>1344</v>
      </c>
      <c r="H163" s="14" t="s">
        <v>1345</v>
      </c>
      <c r="I163" s="14" t="s">
        <v>210</v>
      </c>
      <c r="J163" s="14" t="s">
        <v>235</v>
      </c>
      <c r="K163" s="14" t="s">
        <v>90</v>
      </c>
      <c r="L163" s="15" t="s">
        <v>91</v>
      </c>
      <c r="M163" s="14" t="s">
        <v>1584</v>
      </c>
      <c r="N163" s="16" t="s">
        <v>1585</v>
      </c>
      <c r="O163" s="15"/>
      <c r="P163" s="15" t="n">
        <v>1988</v>
      </c>
      <c r="Q163" s="15" t="n">
        <f aca="false">IFERROR(VLOOKUP(J163,Parametros!$A$5:$B$9,2,FALSE()),0)</f>
        <v>2</v>
      </c>
      <c r="R163" s="15" t="n">
        <f aca="false">IFERROR(VLOOKUP(H163,Parametros!$D$5:$E$23,2,FALSE()),1)</f>
        <v>1</v>
      </c>
      <c r="S163" s="15" t="n">
        <f aca="false">IF(OR(N(O163)&gt;=Parametros!$H$9,AND(N(P163)&gt;0,N(P163)&lt;=Parametros!$H$10)),1,0)</f>
        <v>1</v>
      </c>
      <c r="T163" s="15" t="n">
        <f aca="false">Q163+R163+S163</f>
        <v>4</v>
      </c>
      <c r="U163" s="15" t="str">
        <f aca="false">IF(OR(V163="Inactive",V163="No encontrada",V163="Duplicado"),"Descartada",IF(AND(T163&gt;=Parametros!$H$5,S163=1),"A",IF(T163&gt;=Parametros!$H$6,"B","C")))</f>
        <v>B</v>
      </c>
      <c r="V163" s="17" t="s">
        <v>94</v>
      </c>
      <c r="W163" s="17"/>
      <c r="X163" s="14" t="s">
        <v>1586</v>
      </c>
      <c r="Y163" s="14" t="s">
        <v>1587</v>
      </c>
      <c r="Z163" s="14" t="s">
        <v>1588</v>
      </c>
      <c r="AA163" s="16" t="s">
        <v>1589</v>
      </c>
      <c r="AB163" s="14"/>
      <c r="AC163" s="14"/>
      <c r="AD163" s="16" t="s">
        <v>1585</v>
      </c>
      <c r="AE163" s="16" t="s">
        <v>1590</v>
      </c>
      <c r="AF163" s="14"/>
      <c r="AG163" s="14" t="s">
        <v>1559</v>
      </c>
      <c r="AH163" s="14" t="s">
        <v>1351</v>
      </c>
    </row>
    <row r="164" customFormat="false" ht="15" hidden="false" customHeight="false" outlineLevel="0" collapsed="false">
      <c r="A164" s="14" t="s">
        <v>1591</v>
      </c>
      <c r="B164" s="14" t="s">
        <v>1592</v>
      </c>
      <c r="C164" s="14" t="s">
        <v>670</v>
      </c>
      <c r="D164" s="14"/>
      <c r="E164" s="14" t="s">
        <v>9</v>
      </c>
      <c r="F164" s="14" t="s">
        <v>1593</v>
      </c>
      <c r="G164" s="15" t="s">
        <v>538</v>
      </c>
      <c r="H164" s="14" t="s">
        <v>539</v>
      </c>
      <c r="I164" s="14" t="s">
        <v>210</v>
      </c>
      <c r="J164" s="14" t="s">
        <v>8</v>
      </c>
      <c r="K164" s="14" t="s">
        <v>90</v>
      </c>
      <c r="L164" s="15" t="s">
        <v>91</v>
      </c>
      <c r="M164" s="14" t="s">
        <v>1594</v>
      </c>
      <c r="N164" s="16" t="s">
        <v>1595</v>
      </c>
      <c r="O164" s="15"/>
      <c r="P164" s="15"/>
      <c r="Q164" s="15" t="n">
        <f aca="false">IFERROR(VLOOKUP(J164,Parametros!$A$5:$B$9,2,FALSE()),0)</f>
        <v>3</v>
      </c>
      <c r="R164" s="15" t="n">
        <f aca="false">IFERROR(VLOOKUP(H164,Parametros!$D$5:$E$23,2,FALSE()),1)</f>
        <v>1</v>
      </c>
      <c r="S164" s="15" t="n">
        <f aca="false">IF(OR(N(O164)&gt;=Parametros!$H$9,AND(N(P164)&gt;0,N(P164)&lt;=Parametros!$H$10)),1,0)</f>
        <v>0</v>
      </c>
      <c r="T164" s="15" t="n">
        <f aca="false">Q164+R164+S164</f>
        <v>4</v>
      </c>
      <c r="U164" s="15" t="str">
        <f aca="false">IF(OR(V164="Inactive",V164="No encontrada",V164="Duplicado"),"Descartada",IF(AND(T164&gt;=Parametros!$H$5,S164=1),"A",IF(T164&gt;=Parametros!$H$6,"B","C")))</f>
        <v>B</v>
      </c>
      <c r="V164" s="17" t="s">
        <v>94</v>
      </c>
      <c r="W164" s="17"/>
      <c r="X164" s="14" t="s">
        <v>1596</v>
      </c>
      <c r="Y164" s="14" t="s">
        <v>1597</v>
      </c>
      <c r="Z164" s="14"/>
      <c r="AA164" s="16" t="s">
        <v>1598</v>
      </c>
      <c r="AB164" s="14"/>
      <c r="AC164" s="14"/>
      <c r="AD164" s="16" t="s">
        <v>1595</v>
      </c>
      <c r="AE164" s="16" t="s">
        <v>1599</v>
      </c>
      <c r="AF164" s="14"/>
      <c r="AG164" s="14" t="s">
        <v>100</v>
      </c>
      <c r="AH164" s="14" t="s">
        <v>549</v>
      </c>
    </row>
    <row r="165" customFormat="false" ht="15" hidden="false" customHeight="false" outlineLevel="0" collapsed="false">
      <c r="A165" s="14" t="s">
        <v>1600</v>
      </c>
      <c r="B165" s="14" t="s">
        <v>1601</v>
      </c>
      <c r="C165" s="14" t="s">
        <v>670</v>
      </c>
      <c r="D165" s="14"/>
      <c r="E165" s="14" t="s">
        <v>9</v>
      </c>
      <c r="F165" s="14" t="s">
        <v>1602</v>
      </c>
      <c r="G165" s="15" t="s">
        <v>538</v>
      </c>
      <c r="H165" s="14" t="s">
        <v>539</v>
      </c>
      <c r="I165" s="14" t="s">
        <v>210</v>
      </c>
      <c r="J165" s="14" t="s">
        <v>199</v>
      </c>
      <c r="K165" s="14" t="s">
        <v>90</v>
      </c>
      <c r="L165" s="15" t="s">
        <v>91</v>
      </c>
      <c r="M165" s="14" t="s">
        <v>1603</v>
      </c>
      <c r="N165" s="16" t="s">
        <v>1604</v>
      </c>
      <c r="O165" s="15"/>
      <c r="P165" s="15"/>
      <c r="Q165" s="15" t="n">
        <f aca="false">IFERROR(VLOOKUP(J165,Parametros!$A$5:$B$9,2,FALSE()),0)</f>
        <v>1</v>
      </c>
      <c r="R165" s="15" t="n">
        <f aca="false">IFERROR(VLOOKUP(H165,Parametros!$D$5:$E$23,2,FALSE()),1)</f>
        <v>1</v>
      </c>
      <c r="S165" s="15" t="n">
        <f aca="false">IF(OR(N(O165)&gt;=Parametros!$H$9,AND(N(P165)&gt;0,N(P165)&lt;=Parametros!$H$10)),1,0)</f>
        <v>0</v>
      </c>
      <c r="T165" s="15" t="n">
        <f aca="false">Q165+R165+S165</f>
        <v>2</v>
      </c>
      <c r="U165" s="15" t="str">
        <f aca="false">IF(OR(V165="Inactive",V165="No encontrada",V165="Duplicado"),"Descartada",IF(AND(T165&gt;=Parametros!$H$5,S165=1),"A",IF(T165&gt;=Parametros!$H$6,"B","C")))</f>
        <v>C</v>
      </c>
      <c r="V165" s="17" t="s">
        <v>94</v>
      </c>
      <c r="W165" s="17"/>
      <c r="X165" s="14" t="s">
        <v>1605</v>
      </c>
      <c r="Y165" s="14" t="s">
        <v>1606</v>
      </c>
      <c r="Z165" s="14" t="s">
        <v>1607</v>
      </c>
      <c r="AA165" s="16" t="s">
        <v>1608</v>
      </c>
      <c r="AB165" s="14"/>
      <c r="AC165" s="14"/>
      <c r="AD165" s="16" t="s">
        <v>1609</v>
      </c>
      <c r="AE165" s="16" t="s">
        <v>1604</v>
      </c>
      <c r="AF165" s="14"/>
      <c r="AG165" s="14"/>
      <c r="AH165" s="14" t="s">
        <v>1510</v>
      </c>
    </row>
    <row r="166" customFormat="false" ht="15" hidden="false" customHeight="false" outlineLevel="0" collapsed="false">
      <c r="A166" s="14" t="s">
        <v>1610</v>
      </c>
      <c r="B166" s="14" t="s">
        <v>1611</v>
      </c>
      <c r="C166" s="14" t="s">
        <v>670</v>
      </c>
      <c r="D166" s="14"/>
      <c r="E166" s="14" t="s">
        <v>9</v>
      </c>
      <c r="F166" s="14" t="s">
        <v>1612</v>
      </c>
      <c r="G166" s="15" t="s">
        <v>1344</v>
      </c>
      <c r="H166" s="14" t="s">
        <v>1345</v>
      </c>
      <c r="I166" s="14" t="s">
        <v>210</v>
      </c>
      <c r="J166" s="14" t="s">
        <v>199</v>
      </c>
      <c r="K166" s="14" t="s">
        <v>73</v>
      </c>
      <c r="L166" s="15" t="s">
        <v>74</v>
      </c>
      <c r="M166" s="14" t="s">
        <v>1613</v>
      </c>
      <c r="N166" s="16" t="s">
        <v>1614</v>
      </c>
      <c r="O166" s="15"/>
      <c r="P166" s="15" t="n">
        <v>1970</v>
      </c>
      <c r="Q166" s="15" t="n">
        <f aca="false">IFERROR(VLOOKUP(J166,Parametros!$A$5:$B$9,2,FALSE()),0)</f>
        <v>1</v>
      </c>
      <c r="R166" s="15" t="n">
        <f aca="false">IFERROR(VLOOKUP(H166,Parametros!$D$5:$E$23,2,FALSE()),1)</f>
        <v>1</v>
      </c>
      <c r="S166" s="15" t="n">
        <f aca="false">IF(OR(N(O166)&gt;=Parametros!$H$9,AND(N(P166)&gt;0,N(P166)&lt;=Parametros!$H$10)),1,0)</f>
        <v>1</v>
      </c>
      <c r="T166" s="15" t="n">
        <f aca="false">Q166+R166+S166</f>
        <v>3</v>
      </c>
      <c r="U166" s="15" t="str">
        <f aca="false">IF(OR(V166="Inactive",V166="No encontrada",V166="Duplicado"),"Descartada",IF(AND(T166&gt;=Parametros!$H$5,S166=1),"A",IF(T166&gt;=Parametros!$H$6,"B","C")))</f>
        <v>C</v>
      </c>
      <c r="V166" s="17" t="s">
        <v>94</v>
      </c>
      <c r="W166" s="17"/>
      <c r="X166" s="14"/>
      <c r="Y166" s="14"/>
      <c r="Z166" s="14" t="s">
        <v>1615</v>
      </c>
      <c r="AA166" s="14"/>
      <c r="AB166" s="14"/>
      <c r="AC166" s="14"/>
      <c r="AD166" s="14"/>
      <c r="AE166" s="16" t="s">
        <v>1614</v>
      </c>
      <c r="AF166" s="14"/>
      <c r="AG166" s="14" t="s">
        <v>1616</v>
      </c>
      <c r="AH166" s="14" t="s">
        <v>1351</v>
      </c>
    </row>
    <row r="167" customFormat="false" ht="15" hidden="false" customHeight="false" outlineLevel="0" collapsed="false">
      <c r="A167" s="14" t="s">
        <v>1617</v>
      </c>
      <c r="B167" s="14" t="s">
        <v>1618</v>
      </c>
      <c r="C167" s="14" t="s">
        <v>1052</v>
      </c>
      <c r="D167" s="14"/>
      <c r="E167" s="14" t="s">
        <v>6</v>
      </c>
      <c r="F167" s="14" t="s">
        <v>659</v>
      </c>
      <c r="G167" s="15" t="s">
        <v>224</v>
      </c>
      <c r="H167" s="14" t="s">
        <v>225</v>
      </c>
      <c r="I167" s="14" t="s">
        <v>72</v>
      </c>
      <c r="J167" s="14" t="s">
        <v>235</v>
      </c>
      <c r="K167" s="14" t="s">
        <v>61</v>
      </c>
      <c r="L167" s="15" t="s">
        <v>91</v>
      </c>
      <c r="M167" s="14" t="s">
        <v>1619</v>
      </c>
      <c r="N167" s="16" t="s">
        <v>1620</v>
      </c>
      <c r="O167" s="15"/>
      <c r="P167" s="15" t="n">
        <v>1996</v>
      </c>
      <c r="Q167" s="15" t="n">
        <f aca="false">IFERROR(VLOOKUP(J167,Parametros!$A$5:$B$9,2,FALSE()),0)</f>
        <v>2</v>
      </c>
      <c r="R167" s="15" t="n">
        <f aca="false">IFERROR(VLOOKUP(H167,Parametros!$D$5:$E$23,2,FALSE()),1)</f>
        <v>2</v>
      </c>
      <c r="S167" s="15" t="n">
        <f aca="false">IF(OR(N(O167)&gt;=Parametros!$H$9,AND(N(P167)&gt;0,N(P167)&lt;=Parametros!$H$10)),1,0)</f>
        <v>1</v>
      </c>
      <c r="T167" s="15" t="n">
        <f aca="false">Q167+R167+S167</f>
        <v>5</v>
      </c>
      <c r="U167" s="15" t="str">
        <f aca="false">IF(OR(V167="Inactive",V167="No encontrada",V167="Duplicado"),"Descartada",IF(AND(T167&gt;=Parametros!$H$5,S167=1),"A",IF(T167&gt;=Parametros!$H$6,"B","C")))</f>
        <v>B</v>
      </c>
      <c r="V167" s="17" t="s">
        <v>94</v>
      </c>
      <c r="W167" s="17"/>
      <c r="X167" s="14" t="s">
        <v>1621</v>
      </c>
      <c r="Y167" s="14" t="s">
        <v>1622</v>
      </c>
      <c r="Z167" s="14" t="s">
        <v>1623</v>
      </c>
      <c r="AA167" s="14"/>
      <c r="AB167" s="14"/>
      <c r="AC167" s="14"/>
      <c r="AD167" s="16" t="s">
        <v>1620</v>
      </c>
      <c r="AE167" s="16" t="s">
        <v>1624</v>
      </c>
      <c r="AF167" s="14"/>
      <c r="AG167" s="14"/>
      <c r="AH167" s="14" t="s">
        <v>667</v>
      </c>
    </row>
    <row r="168" customFormat="false" ht="15" hidden="false" customHeight="false" outlineLevel="0" collapsed="false">
      <c r="A168" s="14" t="s">
        <v>1625</v>
      </c>
      <c r="B168" s="14" t="s">
        <v>1626</v>
      </c>
      <c r="C168" s="14" t="s">
        <v>68</v>
      </c>
      <c r="D168" s="14"/>
      <c r="E168" s="14" t="s">
        <v>6</v>
      </c>
      <c r="F168" s="14" t="s">
        <v>1627</v>
      </c>
      <c r="G168" s="15" t="s">
        <v>1628</v>
      </c>
      <c r="H168" s="14" t="s">
        <v>1629</v>
      </c>
      <c r="I168" s="14" t="s">
        <v>210</v>
      </c>
      <c r="J168" s="14" t="s">
        <v>235</v>
      </c>
      <c r="K168" s="14" t="s">
        <v>211</v>
      </c>
      <c r="L168" s="15" t="s">
        <v>91</v>
      </c>
      <c r="M168" s="14" t="s">
        <v>1630</v>
      </c>
      <c r="N168" s="16" t="s">
        <v>1631</v>
      </c>
      <c r="O168" s="15"/>
      <c r="P168" s="15"/>
      <c r="Q168" s="15" t="n">
        <f aca="false">IFERROR(VLOOKUP(J168,Parametros!$A$5:$B$9,2,FALSE()),0)</f>
        <v>2</v>
      </c>
      <c r="R168" s="15" t="n">
        <f aca="false">IFERROR(VLOOKUP(H168,Parametros!$D$5:$E$23,2,FALSE()),1)</f>
        <v>2</v>
      </c>
      <c r="S168" s="15" t="n">
        <f aca="false">IF(OR(N(O168)&gt;=Parametros!$H$9,AND(N(P168)&gt;0,N(P168)&lt;=Parametros!$H$10)),1,0)</f>
        <v>0</v>
      </c>
      <c r="T168" s="15" t="n">
        <f aca="false">Q168+R168+S168</f>
        <v>4</v>
      </c>
      <c r="U168" s="15" t="str">
        <f aca="false">IF(OR(V168="Inactive",V168="No encontrada",V168="Duplicado"),"Descartada",IF(AND(T168&gt;=Parametros!$H$5,S168=1),"A",IF(T168&gt;=Parametros!$H$6,"B","C")))</f>
        <v>B</v>
      </c>
      <c r="V168" s="17" t="s">
        <v>94</v>
      </c>
      <c r="W168" s="17"/>
      <c r="X168" s="14" t="s">
        <v>1632</v>
      </c>
      <c r="Y168" s="14" t="s">
        <v>1633</v>
      </c>
      <c r="Z168" s="14"/>
      <c r="AA168" s="16" t="s">
        <v>1634</v>
      </c>
      <c r="AB168" s="16" t="s">
        <v>1635</v>
      </c>
      <c r="AC168" s="14"/>
      <c r="AD168" s="16" t="s">
        <v>1631</v>
      </c>
      <c r="AE168" s="16" t="s">
        <v>1631</v>
      </c>
      <c r="AF168" s="14"/>
      <c r="AG168" s="14" t="s">
        <v>780</v>
      </c>
      <c r="AH168" s="14" t="s">
        <v>1636</v>
      </c>
    </row>
    <row r="169" customFormat="false" ht="15" hidden="false" customHeight="false" outlineLevel="0" collapsed="false">
      <c r="A169" s="14" t="s">
        <v>1637</v>
      </c>
      <c r="B169" s="14" t="s">
        <v>1638</v>
      </c>
      <c r="C169" s="14" t="s">
        <v>68</v>
      </c>
      <c r="D169" s="14"/>
      <c r="E169" s="14" t="s">
        <v>6</v>
      </c>
      <c r="F169" s="14" t="s">
        <v>1639</v>
      </c>
      <c r="G169" s="15" t="s">
        <v>1628</v>
      </c>
      <c r="H169" s="14" t="s">
        <v>1629</v>
      </c>
      <c r="I169" s="14" t="s">
        <v>210</v>
      </c>
      <c r="J169" s="14" t="s">
        <v>8</v>
      </c>
      <c r="K169" s="14" t="s">
        <v>61</v>
      </c>
      <c r="L169" s="15" t="s">
        <v>91</v>
      </c>
      <c r="M169" s="14" t="s">
        <v>1640</v>
      </c>
      <c r="N169" s="16" t="s">
        <v>1641</v>
      </c>
      <c r="O169" s="15"/>
      <c r="P169" s="15"/>
      <c r="Q169" s="15" t="n">
        <f aca="false">IFERROR(VLOOKUP(J169,Parametros!$A$5:$B$9,2,FALSE()),0)</f>
        <v>3</v>
      </c>
      <c r="R169" s="15" t="n">
        <f aca="false">IFERROR(VLOOKUP(H169,Parametros!$D$5:$E$23,2,FALSE()),1)</f>
        <v>2</v>
      </c>
      <c r="S169" s="15" t="n">
        <f aca="false">IF(OR(N(O169)&gt;=Parametros!$H$9,AND(N(P169)&gt;0,N(P169)&lt;=Parametros!$H$10)),1,0)</f>
        <v>0</v>
      </c>
      <c r="T169" s="15" t="n">
        <f aca="false">Q169+R169+S169</f>
        <v>5</v>
      </c>
      <c r="U169" s="15" t="str">
        <f aca="false">IF(OR(V169="Inactive",V169="No encontrada",V169="Duplicado"),"Descartada",IF(AND(T169&gt;=Parametros!$H$5,S169=1),"A",IF(T169&gt;=Parametros!$H$6,"B","C")))</f>
        <v>B</v>
      </c>
      <c r="V169" s="17" t="s">
        <v>94</v>
      </c>
      <c r="W169" s="17"/>
      <c r="X169" s="14" t="s">
        <v>1642</v>
      </c>
      <c r="Y169" s="14" t="s">
        <v>1643</v>
      </c>
      <c r="Z169" s="14"/>
      <c r="AA169" s="14"/>
      <c r="AB169" s="14"/>
      <c r="AC169" s="14"/>
      <c r="AD169" s="16" t="s">
        <v>1641</v>
      </c>
      <c r="AE169" s="16" t="s">
        <v>1641</v>
      </c>
      <c r="AF169" s="14"/>
      <c r="AG169" s="14" t="s">
        <v>100</v>
      </c>
      <c r="AH169" s="14" t="s">
        <v>1636</v>
      </c>
    </row>
    <row r="170" customFormat="false" ht="15" hidden="false" customHeight="false" outlineLevel="0" collapsed="false">
      <c r="A170" s="14" t="s">
        <v>1644</v>
      </c>
      <c r="B170" s="14" t="s">
        <v>1645</v>
      </c>
      <c r="C170" s="14" t="s">
        <v>68</v>
      </c>
      <c r="D170" s="14"/>
      <c r="E170" s="14" t="s">
        <v>6</v>
      </c>
      <c r="F170" s="14" t="s">
        <v>1639</v>
      </c>
      <c r="G170" s="15" t="s">
        <v>1628</v>
      </c>
      <c r="H170" s="14" t="s">
        <v>1629</v>
      </c>
      <c r="I170" s="14" t="s">
        <v>210</v>
      </c>
      <c r="J170" s="14" t="s">
        <v>8</v>
      </c>
      <c r="K170" s="14" t="s">
        <v>61</v>
      </c>
      <c r="L170" s="15" t="s">
        <v>91</v>
      </c>
      <c r="M170" s="14" t="s">
        <v>1646</v>
      </c>
      <c r="N170" s="16" t="s">
        <v>1647</v>
      </c>
      <c r="O170" s="15"/>
      <c r="P170" s="15"/>
      <c r="Q170" s="15" t="n">
        <f aca="false">IFERROR(VLOOKUP(J170,Parametros!$A$5:$B$9,2,FALSE()),0)</f>
        <v>3</v>
      </c>
      <c r="R170" s="15" t="n">
        <f aca="false">IFERROR(VLOOKUP(H170,Parametros!$D$5:$E$23,2,FALSE()),1)</f>
        <v>2</v>
      </c>
      <c r="S170" s="15" t="n">
        <f aca="false">IF(OR(N(O170)&gt;=Parametros!$H$9,AND(N(P170)&gt;0,N(P170)&lt;=Parametros!$H$10)),1,0)</f>
        <v>0</v>
      </c>
      <c r="T170" s="15" t="n">
        <f aca="false">Q170+R170+S170</f>
        <v>5</v>
      </c>
      <c r="U170" s="15" t="str">
        <f aca="false">IF(OR(V170="Inactive",V170="No encontrada",V170="Duplicado"),"Descartada",IF(AND(T170&gt;=Parametros!$H$5,S170=1),"A",IF(T170&gt;=Parametros!$H$6,"B","C")))</f>
        <v>B</v>
      </c>
      <c r="V170" s="17" t="s">
        <v>94</v>
      </c>
      <c r="W170" s="17"/>
      <c r="X170" s="14" t="s">
        <v>1648</v>
      </c>
      <c r="Y170" s="14" t="s">
        <v>1649</v>
      </c>
      <c r="Z170" s="14"/>
      <c r="AA170" s="14"/>
      <c r="AB170" s="14"/>
      <c r="AC170" s="14"/>
      <c r="AD170" s="16" t="s">
        <v>1647</v>
      </c>
      <c r="AE170" s="16" t="s">
        <v>1647</v>
      </c>
      <c r="AF170" s="14"/>
      <c r="AG170" s="14" t="s">
        <v>100</v>
      </c>
      <c r="AH170" s="14" t="s">
        <v>1636</v>
      </c>
    </row>
    <row r="171" customFormat="false" ht="15" hidden="false" customHeight="false" outlineLevel="0" collapsed="false">
      <c r="A171" s="14" t="s">
        <v>1650</v>
      </c>
      <c r="B171" s="14" t="s">
        <v>1651</v>
      </c>
      <c r="C171" s="14" t="s">
        <v>68</v>
      </c>
      <c r="D171" s="14"/>
      <c r="E171" s="14" t="s">
        <v>6</v>
      </c>
      <c r="F171" s="14" t="s">
        <v>1652</v>
      </c>
      <c r="G171" s="15" t="s">
        <v>1628</v>
      </c>
      <c r="H171" s="14" t="s">
        <v>1629</v>
      </c>
      <c r="I171" s="14" t="s">
        <v>210</v>
      </c>
      <c r="J171" s="14" t="s">
        <v>8</v>
      </c>
      <c r="K171" s="14" t="s">
        <v>61</v>
      </c>
      <c r="L171" s="15" t="s">
        <v>91</v>
      </c>
      <c r="M171" s="14" t="s">
        <v>1646</v>
      </c>
      <c r="N171" s="16" t="s">
        <v>1653</v>
      </c>
      <c r="O171" s="15"/>
      <c r="P171" s="15"/>
      <c r="Q171" s="15" t="n">
        <f aca="false">IFERROR(VLOOKUP(J171,Parametros!$A$5:$B$9,2,FALSE()),0)</f>
        <v>3</v>
      </c>
      <c r="R171" s="15" t="n">
        <f aca="false">IFERROR(VLOOKUP(H171,Parametros!$D$5:$E$23,2,FALSE()),1)</f>
        <v>2</v>
      </c>
      <c r="S171" s="15" t="n">
        <f aca="false">IF(OR(N(O171)&gt;=Parametros!$H$9,AND(N(P171)&gt;0,N(P171)&lt;=Parametros!$H$10)),1,0)</f>
        <v>0</v>
      </c>
      <c r="T171" s="15" t="n">
        <f aca="false">Q171+R171+S171</f>
        <v>5</v>
      </c>
      <c r="U171" s="15" t="str">
        <f aca="false">IF(OR(V171="Inactive",V171="No encontrada",V171="Duplicado"),"Descartada",IF(AND(T171&gt;=Parametros!$H$5,S171=1),"A",IF(T171&gt;=Parametros!$H$6,"B","C")))</f>
        <v>B</v>
      </c>
      <c r="V171" s="17" t="s">
        <v>94</v>
      </c>
      <c r="W171" s="17"/>
      <c r="X171" s="14" t="s">
        <v>1654</v>
      </c>
      <c r="Y171" s="14" t="s">
        <v>1655</v>
      </c>
      <c r="Z171" s="14"/>
      <c r="AA171" s="14"/>
      <c r="AB171" s="14"/>
      <c r="AC171" s="14"/>
      <c r="AD171" s="16" t="s">
        <v>1653</v>
      </c>
      <c r="AE171" s="16" t="s">
        <v>1653</v>
      </c>
      <c r="AF171" s="14"/>
      <c r="AG171" s="14" t="s">
        <v>100</v>
      </c>
      <c r="AH171" s="14" t="s">
        <v>1636</v>
      </c>
    </row>
    <row r="172" customFormat="false" ht="15" hidden="false" customHeight="false" outlineLevel="0" collapsed="false">
      <c r="A172" s="14" t="s">
        <v>1656</v>
      </c>
      <c r="B172" s="14" t="s">
        <v>1657</v>
      </c>
      <c r="C172" s="14" t="s">
        <v>68</v>
      </c>
      <c r="D172" s="14"/>
      <c r="E172" s="14" t="s">
        <v>6</v>
      </c>
      <c r="F172" s="14" t="s">
        <v>1639</v>
      </c>
      <c r="G172" s="15" t="s">
        <v>1628</v>
      </c>
      <c r="H172" s="14" t="s">
        <v>1629</v>
      </c>
      <c r="I172" s="14" t="s">
        <v>210</v>
      </c>
      <c r="J172" s="14" t="s">
        <v>8</v>
      </c>
      <c r="K172" s="14" t="s">
        <v>61</v>
      </c>
      <c r="L172" s="15" t="s">
        <v>91</v>
      </c>
      <c r="M172" s="14" t="s">
        <v>1646</v>
      </c>
      <c r="N172" s="16" t="s">
        <v>1658</v>
      </c>
      <c r="O172" s="15"/>
      <c r="P172" s="15"/>
      <c r="Q172" s="15" t="n">
        <f aca="false">IFERROR(VLOOKUP(J172,Parametros!$A$5:$B$9,2,FALSE()),0)</f>
        <v>3</v>
      </c>
      <c r="R172" s="15" t="n">
        <f aca="false">IFERROR(VLOOKUP(H172,Parametros!$D$5:$E$23,2,FALSE()),1)</f>
        <v>2</v>
      </c>
      <c r="S172" s="15" t="n">
        <f aca="false">IF(OR(N(O172)&gt;=Parametros!$H$9,AND(N(P172)&gt;0,N(P172)&lt;=Parametros!$H$10)),1,0)</f>
        <v>0</v>
      </c>
      <c r="T172" s="15" t="n">
        <f aca="false">Q172+R172+S172</f>
        <v>5</v>
      </c>
      <c r="U172" s="15" t="str">
        <f aca="false">IF(OR(V172="Inactive",V172="No encontrada",V172="Duplicado"),"Descartada",IF(AND(T172&gt;=Parametros!$H$5,S172=1),"A",IF(T172&gt;=Parametros!$H$6,"B","C")))</f>
        <v>B</v>
      </c>
      <c r="V172" s="17" t="s">
        <v>94</v>
      </c>
      <c r="W172" s="17"/>
      <c r="X172" s="14" t="s">
        <v>1659</v>
      </c>
      <c r="Y172" s="14" t="s">
        <v>1660</v>
      </c>
      <c r="Z172" s="14"/>
      <c r="AA172" s="14"/>
      <c r="AB172" s="14"/>
      <c r="AC172" s="14"/>
      <c r="AD172" s="16" t="s">
        <v>1658</v>
      </c>
      <c r="AE172" s="16" t="s">
        <v>1658</v>
      </c>
      <c r="AF172" s="14"/>
      <c r="AG172" s="14" t="s">
        <v>100</v>
      </c>
      <c r="AH172" s="14" t="s">
        <v>1636</v>
      </c>
    </row>
    <row r="173" customFormat="false" ht="15" hidden="false" customHeight="false" outlineLevel="0" collapsed="false">
      <c r="A173" s="14" t="s">
        <v>1661</v>
      </c>
      <c r="B173" s="14" t="s">
        <v>1662</v>
      </c>
      <c r="C173" s="14" t="s">
        <v>494</v>
      </c>
      <c r="D173" s="14"/>
      <c r="E173" s="14" t="s">
        <v>6</v>
      </c>
      <c r="F173" s="14" t="s">
        <v>1663</v>
      </c>
      <c r="G173" s="15" t="s">
        <v>1628</v>
      </c>
      <c r="H173" s="14" t="s">
        <v>1629</v>
      </c>
      <c r="I173" s="14" t="s">
        <v>210</v>
      </c>
      <c r="J173" s="14" t="s">
        <v>199</v>
      </c>
      <c r="K173" s="14" t="s">
        <v>90</v>
      </c>
      <c r="L173" s="15" t="s">
        <v>91</v>
      </c>
      <c r="M173" s="14" t="s">
        <v>1664</v>
      </c>
      <c r="N173" s="16" t="s">
        <v>1665</v>
      </c>
      <c r="O173" s="15"/>
      <c r="P173" s="15" t="n">
        <v>1964</v>
      </c>
      <c r="Q173" s="15" t="n">
        <f aca="false">IFERROR(VLOOKUP(J173,Parametros!$A$5:$B$9,2,FALSE()),0)</f>
        <v>1</v>
      </c>
      <c r="R173" s="15" t="n">
        <f aca="false">IFERROR(VLOOKUP(H173,Parametros!$D$5:$E$23,2,FALSE()),1)</f>
        <v>2</v>
      </c>
      <c r="S173" s="15" t="n">
        <f aca="false">IF(OR(N(O173)&gt;=Parametros!$H$9,AND(N(P173)&gt;0,N(P173)&lt;=Parametros!$H$10)),1,0)</f>
        <v>1</v>
      </c>
      <c r="T173" s="15" t="n">
        <f aca="false">Q173+R173+S173</f>
        <v>4</v>
      </c>
      <c r="U173" s="15" t="str">
        <f aca="false">IF(OR(V173="Inactive",V173="No encontrada",V173="Duplicado"),"Descartada",IF(AND(T173&gt;=Parametros!$H$5,S173=1),"A",IF(T173&gt;=Parametros!$H$6,"B","C")))</f>
        <v>B</v>
      </c>
      <c r="V173" s="17" t="s">
        <v>94</v>
      </c>
      <c r="W173" s="17"/>
      <c r="X173" s="14" t="s">
        <v>1666</v>
      </c>
      <c r="Y173" s="14" t="s">
        <v>1667</v>
      </c>
      <c r="Z173" s="14" t="s">
        <v>1668</v>
      </c>
      <c r="AA173" s="16" t="s">
        <v>1669</v>
      </c>
      <c r="AB173" s="14"/>
      <c r="AC173" s="14"/>
      <c r="AD173" s="16" t="s">
        <v>1670</v>
      </c>
      <c r="AE173" s="16" t="s">
        <v>1671</v>
      </c>
      <c r="AF173" s="14"/>
      <c r="AG173" s="14"/>
      <c r="AH173" s="14" t="s">
        <v>1636</v>
      </c>
    </row>
    <row r="174" customFormat="false" ht="23.85" hidden="false" customHeight="false" outlineLevel="0" collapsed="false">
      <c r="A174" s="14" t="s">
        <v>1672</v>
      </c>
      <c r="B174" s="14" t="s">
        <v>1673</v>
      </c>
      <c r="C174" s="14" t="s">
        <v>68</v>
      </c>
      <c r="D174" s="14"/>
      <c r="E174" s="14" t="s">
        <v>6</v>
      </c>
      <c r="F174" s="14" t="s">
        <v>1674</v>
      </c>
      <c r="G174" s="15" t="s">
        <v>1675</v>
      </c>
      <c r="H174" s="14" t="s">
        <v>1629</v>
      </c>
      <c r="I174" s="14" t="s">
        <v>210</v>
      </c>
      <c r="J174" s="14" t="s">
        <v>148</v>
      </c>
      <c r="K174" s="14" t="s">
        <v>61</v>
      </c>
      <c r="L174" s="15" t="s">
        <v>91</v>
      </c>
      <c r="M174" s="14" t="s">
        <v>1676</v>
      </c>
      <c r="N174" s="16" t="s">
        <v>1677</v>
      </c>
      <c r="O174" s="15"/>
      <c r="P174" s="15"/>
      <c r="Q174" s="15" t="n">
        <f aca="false">IFERROR(VLOOKUP(J174,Parametros!$A$5:$B$9,2,FALSE()),0)</f>
        <v>3</v>
      </c>
      <c r="R174" s="15" t="n">
        <f aca="false">IFERROR(VLOOKUP(H174,Parametros!$D$5:$E$23,2,FALSE()),1)</f>
        <v>2</v>
      </c>
      <c r="S174" s="15" t="n">
        <f aca="false">IF(OR(N(O174)&gt;=Parametros!$H$9,AND(N(P174)&gt;0,N(P174)&lt;=Parametros!$H$10)),1,0)</f>
        <v>0</v>
      </c>
      <c r="T174" s="15" t="n">
        <f aca="false">Q174+R174+S174</f>
        <v>5</v>
      </c>
      <c r="U174" s="15" t="str">
        <f aca="false">IF(OR(V174="Inactive",V174="No encontrada",V174="Duplicado"),"Descartada",IF(AND(T174&gt;=Parametros!$H$5,S174=1),"A",IF(T174&gt;=Parametros!$H$6,"B","C")))</f>
        <v>B</v>
      </c>
      <c r="V174" s="17" t="s">
        <v>94</v>
      </c>
      <c r="W174" s="17"/>
      <c r="X174" s="14" t="s">
        <v>1678</v>
      </c>
      <c r="Y174" s="14" t="s">
        <v>1679</v>
      </c>
      <c r="Z174" s="14" t="s">
        <v>1680</v>
      </c>
      <c r="AA174" s="14"/>
      <c r="AB174" s="14"/>
      <c r="AC174" s="14"/>
      <c r="AD174" s="16" t="s">
        <v>1677</v>
      </c>
      <c r="AE174" s="16" t="s">
        <v>1681</v>
      </c>
      <c r="AF174" s="14"/>
      <c r="AG174" s="14" t="s">
        <v>1682</v>
      </c>
      <c r="AH174" s="14" t="s">
        <v>1683</v>
      </c>
    </row>
    <row r="175" customFormat="false" ht="15" hidden="false" customHeight="false" outlineLevel="0" collapsed="false">
      <c r="A175" s="14" t="s">
        <v>1684</v>
      </c>
      <c r="B175" s="14" t="s">
        <v>1685</v>
      </c>
      <c r="C175" s="14" t="s">
        <v>68</v>
      </c>
      <c r="D175" s="14"/>
      <c r="E175" s="14" t="s">
        <v>6</v>
      </c>
      <c r="F175" s="14" t="s">
        <v>1686</v>
      </c>
      <c r="G175" s="15" t="s">
        <v>1675</v>
      </c>
      <c r="H175" s="14" t="s">
        <v>1629</v>
      </c>
      <c r="I175" s="14" t="s">
        <v>210</v>
      </c>
      <c r="J175" s="14" t="s">
        <v>210</v>
      </c>
      <c r="K175" s="14" t="s">
        <v>61</v>
      </c>
      <c r="L175" s="15" t="s">
        <v>91</v>
      </c>
      <c r="M175" s="14" t="s">
        <v>1687</v>
      </c>
      <c r="N175" s="16" t="s">
        <v>1688</v>
      </c>
      <c r="O175" s="15"/>
      <c r="P175" s="15" t="n">
        <v>2003</v>
      </c>
      <c r="Q175" s="15" t="n">
        <f aca="false">IFERROR(VLOOKUP(J175,Parametros!$A$5:$B$9,2,FALSE()),0)</f>
        <v>1</v>
      </c>
      <c r="R175" s="15" t="n">
        <f aca="false">IFERROR(VLOOKUP(H175,Parametros!$D$5:$E$23,2,FALSE()),1)</f>
        <v>2</v>
      </c>
      <c r="S175" s="15" t="n">
        <f aca="false">IF(OR(N(O175)&gt;=Parametros!$H$9,AND(N(P175)&gt;0,N(P175)&lt;=Parametros!$H$10)),1,0)</f>
        <v>0</v>
      </c>
      <c r="T175" s="15" t="n">
        <f aca="false">Q175+R175+S175</f>
        <v>3</v>
      </c>
      <c r="U175" s="15" t="str">
        <f aca="false">IF(OR(V175="Inactive",V175="No encontrada",V175="Duplicado"),"Descartada",IF(AND(T175&gt;=Parametros!$H$5,S175=1),"A",IF(T175&gt;=Parametros!$H$6,"B","C")))</f>
        <v>C</v>
      </c>
      <c r="V175" s="17" t="s">
        <v>94</v>
      </c>
      <c r="W175" s="17"/>
      <c r="X175" s="14" t="s">
        <v>1689</v>
      </c>
      <c r="Y175" s="14" t="s">
        <v>1690</v>
      </c>
      <c r="Z175" s="14"/>
      <c r="AA175" s="14"/>
      <c r="AB175" s="14"/>
      <c r="AC175" s="14"/>
      <c r="AD175" s="16" t="s">
        <v>1688</v>
      </c>
      <c r="AE175" s="16" t="s">
        <v>1688</v>
      </c>
      <c r="AF175" s="14"/>
      <c r="AG175" s="14" t="s">
        <v>1691</v>
      </c>
      <c r="AH175" s="14" t="s">
        <v>1683</v>
      </c>
    </row>
    <row r="176" customFormat="false" ht="15" hidden="false" customHeight="false" outlineLevel="0" collapsed="false">
      <c r="A176" s="14" t="s">
        <v>1692</v>
      </c>
      <c r="B176" s="14" t="s">
        <v>1693</v>
      </c>
      <c r="C176" s="14" t="s">
        <v>68</v>
      </c>
      <c r="D176" s="14"/>
      <c r="E176" s="14" t="s">
        <v>6</v>
      </c>
      <c r="F176" s="14" t="s">
        <v>1694</v>
      </c>
      <c r="G176" s="15" t="s">
        <v>1675</v>
      </c>
      <c r="H176" s="14" t="s">
        <v>1629</v>
      </c>
      <c r="I176" s="14" t="s">
        <v>72</v>
      </c>
      <c r="J176" s="14" t="s">
        <v>8</v>
      </c>
      <c r="K176" s="14" t="s">
        <v>90</v>
      </c>
      <c r="L176" s="15" t="s">
        <v>91</v>
      </c>
      <c r="M176" s="14" t="s">
        <v>1695</v>
      </c>
      <c r="N176" s="16" t="s">
        <v>1696</v>
      </c>
      <c r="O176" s="15"/>
      <c r="P176" s="15" t="n">
        <v>1973</v>
      </c>
      <c r="Q176" s="15" t="n">
        <f aca="false">IFERROR(VLOOKUP(J176,Parametros!$A$5:$B$9,2,FALSE()),0)</f>
        <v>3</v>
      </c>
      <c r="R176" s="15" t="n">
        <f aca="false">IFERROR(VLOOKUP(H176,Parametros!$D$5:$E$23,2,FALSE()),1)</f>
        <v>2</v>
      </c>
      <c r="S176" s="15" t="n">
        <f aca="false">IF(OR(N(O176)&gt;=Parametros!$H$9,AND(N(P176)&gt;0,N(P176)&lt;=Parametros!$H$10)),1,0)</f>
        <v>1</v>
      </c>
      <c r="T176" s="15" t="n">
        <f aca="false">Q176+R176+S176</f>
        <v>6</v>
      </c>
      <c r="U176" s="15" t="str">
        <f aca="false">IF(OR(V176="Inactive",V176="No encontrada",V176="Duplicado"),"Descartada",IF(AND(T176&gt;=Parametros!$H$5,S176=1),"A",IF(T176&gt;=Parametros!$H$6,"B","C")))</f>
        <v>A</v>
      </c>
      <c r="V176" s="17" t="s">
        <v>94</v>
      </c>
      <c r="W176" s="17"/>
      <c r="X176" s="14" t="s">
        <v>1697</v>
      </c>
      <c r="Y176" s="14" t="s">
        <v>1698</v>
      </c>
      <c r="Z176" s="14"/>
      <c r="AA176" s="16" t="s">
        <v>1699</v>
      </c>
      <c r="AB176" s="14"/>
      <c r="AC176" s="14"/>
      <c r="AD176" s="16" t="s">
        <v>1696</v>
      </c>
      <c r="AE176" s="16" t="s">
        <v>1700</v>
      </c>
      <c r="AF176" s="14"/>
      <c r="AG176" s="14" t="s">
        <v>100</v>
      </c>
      <c r="AH176" s="14" t="s">
        <v>232</v>
      </c>
    </row>
    <row r="177" customFormat="false" ht="15" hidden="false" customHeight="false" outlineLevel="0" collapsed="false">
      <c r="A177" s="14" t="s">
        <v>1701</v>
      </c>
      <c r="B177" s="14" t="s">
        <v>1702</v>
      </c>
      <c r="C177" s="14" t="s">
        <v>68</v>
      </c>
      <c r="D177" s="14"/>
      <c r="E177" s="14" t="s">
        <v>6</v>
      </c>
      <c r="F177" s="14" t="s">
        <v>1703</v>
      </c>
      <c r="G177" s="15" t="s">
        <v>1675</v>
      </c>
      <c r="H177" s="14" t="s">
        <v>1629</v>
      </c>
      <c r="I177" s="14" t="s">
        <v>115</v>
      </c>
      <c r="J177" s="14" t="s">
        <v>235</v>
      </c>
      <c r="K177" s="14" t="s">
        <v>90</v>
      </c>
      <c r="L177" s="15" t="s">
        <v>91</v>
      </c>
      <c r="M177" s="14" t="s">
        <v>1704</v>
      </c>
      <c r="N177" s="16" t="s">
        <v>1705</v>
      </c>
      <c r="O177" s="15"/>
      <c r="P177" s="15" t="n">
        <v>2000</v>
      </c>
      <c r="Q177" s="15" t="n">
        <f aca="false">IFERROR(VLOOKUP(J177,Parametros!$A$5:$B$9,2,FALSE()),0)</f>
        <v>2</v>
      </c>
      <c r="R177" s="15" t="n">
        <f aca="false">IFERROR(VLOOKUP(H177,Parametros!$D$5:$E$23,2,FALSE()),1)</f>
        <v>2</v>
      </c>
      <c r="S177" s="15" t="n">
        <f aca="false">IF(OR(N(O177)&gt;=Parametros!$H$9,AND(N(P177)&gt;0,N(P177)&lt;=Parametros!$H$10)),1,0)</f>
        <v>1</v>
      </c>
      <c r="T177" s="15" t="n">
        <f aca="false">Q177+R177+S177</f>
        <v>5</v>
      </c>
      <c r="U177" s="15" t="str">
        <f aca="false">IF(OR(V177="Inactive",V177="No encontrada",V177="Duplicado"),"Descartada",IF(AND(T177&gt;=Parametros!$H$5,S177=1),"A",IF(T177&gt;=Parametros!$H$6,"B","C")))</f>
        <v>B</v>
      </c>
      <c r="V177" s="17" t="s">
        <v>94</v>
      </c>
      <c r="W177" s="17"/>
      <c r="X177" s="14" t="s">
        <v>1706</v>
      </c>
      <c r="Y177" s="14" t="s">
        <v>1707</v>
      </c>
      <c r="Z177" s="14" t="s">
        <v>1708</v>
      </c>
      <c r="AA177" s="16" t="s">
        <v>1709</v>
      </c>
      <c r="AB177" s="14"/>
      <c r="AC177" s="14"/>
      <c r="AD177" s="16" t="s">
        <v>1705</v>
      </c>
      <c r="AE177" s="16" t="s">
        <v>1710</v>
      </c>
      <c r="AF177" s="14"/>
      <c r="AG177" s="14" t="s">
        <v>1711</v>
      </c>
      <c r="AH177" s="14" t="s">
        <v>232</v>
      </c>
    </row>
    <row r="178" customFormat="false" ht="23.85" hidden="false" customHeight="false" outlineLevel="0" collapsed="false">
      <c r="A178" s="14" t="s">
        <v>1712</v>
      </c>
      <c r="B178" s="14" t="s">
        <v>1713</v>
      </c>
      <c r="C178" s="14" t="s">
        <v>68</v>
      </c>
      <c r="D178" s="14"/>
      <c r="E178" s="14" t="s">
        <v>6</v>
      </c>
      <c r="F178" s="14" t="s">
        <v>1714</v>
      </c>
      <c r="G178" s="15" t="s">
        <v>1675</v>
      </c>
      <c r="H178" s="14" t="s">
        <v>1629</v>
      </c>
      <c r="I178" s="14" t="s">
        <v>115</v>
      </c>
      <c r="J178" s="14" t="s">
        <v>199</v>
      </c>
      <c r="K178" s="14" t="s">
        <v>1226</v>
      </c>
      <c r="L178" s="15" t="s">
        <v>91</v>
      </c>
      <c r="M178" s="14" t="s">
        <v>1715</v>
      </c>
      <c r="N178" s="16" t="s">
        <v>1716</v>
      </c>
      <c r="O178" s="15"/>
      <c r="P178" s="15"/>
      <c r="Q178" s="15" t="n">
        <f aca="false">IFERROR(VLOOKUP(J178,Parametros!$A$5:$B$9,2,FALSE()),0)</f>
        <v>1</v>
      </c>
      <c r="R178" s="15" t="n">
        <f aca="false">IFERROR(VLOOKUP(H178,Parametros!$D$5:$E$23,2,FALSE()),1)</f>
        <v>2</v>
      </c>
      <c r="S178" s="15" t="n">
        <f aca="false">IF(OR(N(O178)&gt;=Parametros!$H$9,AND(N(P178)&gt;0,N(P178)&lt;=Parametros!$H$10)),1,0)</f>
        <v>0</v>
      </c>
      <c r="T178" s="15" t="n">
        <f aca="false">Q178+R178+S178</f>
        <v>3</v>
      </c>
      <c r="U178" s="15" t="str">
        <f aca="false">IF(OR(V178="Inactive",V178="No encontrada",V178="Duplicado"),"Descartada",IF(AND(T178&gt;=Parametros!$H$5,S178=1),"A",IF(T178&gt;=Parametros!$H$6,"B","C")))</f>
        <v>C</v>
      </c>
      <c r="V178" s="17" t="s">
        <v>94</v>
      </c>
      <c r="W178" s="17"/>
      <c r="X178" s="14" t="s">
        <v>1717</v>
      </c>
      <c r="Y178" s="14" t="s">
        <v>1718</v>
      </c>
      <c r="Z178" s="14" t="s">
        <v>1719</v>
      </c>
      <c r="AA178" s="14"/>
      <c r="AB178" s="16" t="s">
        <v>1720</v>
      </c>
      <c r="AC178" s="14"/>
      <c r="AD178" s="16" t="s">
        <v>1721</v>
      </c>
      <c r="AE178" s="16" t="s">
        <v>1716</v>
      </c>
      <c r="AF178" s="14"/>
      <c r="AG178" s="14"/>
      <c r="AH178" s="14" t="s">
        <v>232</v>
      </c>
    </row>
    <row r="179" customFormat="false" ht="15" hidden="false" customHeight="false" outlineLevel="0" collapsed="false">
      <c r="A179" s="14" t="s">
        <v>1722</v>
      </c>
      <c r="B179" s="14" t="s">
        <v>1723</v>
      </c>
      <c r="C179" s="14" t="s">
        <v>123</v>
      </c>
      <c r="D179" s="14"/>
      <c r="E179" s="14" t="s">
        <v>6</v>
      </c>
      <c r="F179" s="14" t="s">
        <v>1724</v>
      </c>
      <c r="G179" s="15" t="s">
        <v>1675</v>
      </c>
      <c r="H179" s="14" t="s">
        <v>1629</v>
      </c>
      <c r="I179" s="14" t="s">
        <v>72</v>
      </c>
      <c r="J179" s="14" t="s">
        <v>210</v>
      </c>
      <c r="K179" s="14" t="s">
        <v>61</v>
      </c>
      <c r="L179" s="15" t="s">
        <v>91</v>
      </c>
      <c r="M179" s="14" t="s">
        <v>1725</v>
      </c>
      <c r="N179" s="16" t="s">
        <v>1726</v>
      </c>
      <c r="O179" s="15"/>
      <c r="P179" s="15" t="n">
        <v>1956</v>
      </c>
      <c r="Q179" s="15" t="n">
        <f aca="false">IFERROR(VLOOKUP(J179,Parametros!$A$5:$B$9,2,FALSE()),0)</f>
        <v>1</v>
      </c>
      <c r="R179" s="15" t="n">
        <f aca="false">IFERROR(VLOOKUP(H179,Parametros!$D$5:$E$23,2,FALSE()),1)</f>
        <v>2</v>
      </c>
      <c r="S179" s="15" t="n">
        <f aca="false">IF(OR(N(O179)&gt;=Parametros!$H$9,AND(N(P179)&gt;0,N(P179)&lt;=Parametros!$H$10)),1,0)</f>
        <v>1</v>
      </c>
      <c r="T179" s="15" t="n">
        <f aca="false">Q179+R179+S179</f>
        <v>4</v>
      </c>
      <c r="U179" s="15" t="str">
        <f aca="false">IF(OR(V179="Inactive",V179="No encontrada",V179="Duplicado"),"Descartada",IF(AND(T179&gt;=Parametros!$H$5,S179=1),"A",IF(T179&gt;=Parametros!$H$6,"B","C")))</f>
        <v>B</v>
      </c>
      <c r="V179" s="17" t="s">
        <v>94</v>
      </c>
      <c r="W179" s="17"/>
      <c r="X179" s="14" t="s">
        <v>1727</v>
      </c>
      <c r="Y179" s="14" t="s">
        <v>1728</v>
      </c>
      <c r="Z179" s="14"/>
      <c r="AA179" s="14"/>
      <c r="AB179" s="14"/>
      <c r="AC179" s="14"/>
      <c r="AD179" s="16" t="s">
        <v>1729</v>
      </c>
      <c r="AE179" s="16" t="s">
        <v>1730</v>
      </c>
      <c r="AF179" s="14"/>
      <c r="AG179" s="14" t="s">
        <v>1731</v>
      </c>
      <c r="AH179" s="14" t="s">
        <v>1732</v>
      </c>
    </row>
    <row r="180" customFormat="false" ht="23.85" hidden="false" customHeight="false" outlineLevel="0" collapsed="false">
      <c r="A180" s="14" t="s">
        <v>1733</v>
      </c>
      <c r="B180" s="14" t="s">
        <v>1734</v>
      </c>
      <c r="C180" s="14" t="s">
        <v>123</v>
      </c>
      <c r="D180" s="14"/>
      <c r="E180" s="14" t="s">
        <v>6</v>
      </c>
      <c r="F180" s="14" t="s">
        <v>1735</v>
      </c>
      <c r="G180" s="15" t="s">
        <v>1736</v>
      </c>
      <c r="H180" s="14" t="s">
        <v>1737</v>
      </c>
      <c r="I180" s="14" t="s">
        <v>72</v>
      </c>
      <c r="J180" s="14" t="s">
        <v>8</v>
      </c>
      <c r="K180" s="14" t="s">
        <v>73</v>
      </c>
      <c r="L180" s="15" t="s">
        <v>74</v>
      </c>
      <c r="M180" s="14" t="s">
        <v>1738</v>
      </c>
      <c r="N180" s="16" t="s">
        <v>1739</v>
      </c>
      <c r="O180" s="15"/>
      <c r="P180" s="15" t="n">
        <v>1997</v>
      </c>
      <c r="Q180" s="15" t="n">
        <f aca="false">IFERROR(VLOOKUP(J180,Parametros!$A$5:$B$9,2,FALSE()),0)</f>
        <v>3</v>
      </c>
      <c r="R180" s="15" t="n">
        <f aca="false">IFERROR(VLOOKUP(H180,Parametros!$D$5:$E$23,2,FALSE()),1)</f>
        <v>2</v>
      </c>
      <c r="S180" s="15" t="n">
        <f aca="false">IF(OR(N(O180)&gt;=Parametros!$H$9,AND(N(P180)&gt;0,N(P180)&lt;=Parametros!$H$10)),1,0)</f>
        <v>1</v>
      </c>
      <c r="T180" s="15" t="n">
        <f aca="false">Q180+R180+S180</f>
        <v>6</v>
      </c>
      <c r="U180" s="15" t="str">
        <f aca="false">IF(OR(V180="Inactive",V180="No encontrada",V180="Duplicado"),"Descartada",IF(AND(T180&gt;=Parametros!$H$5,S180=1),"A",IF(T180&gt;=Parametros!$H$6,"B","C")))</f>
        <v>A</v>
      </c>
      <c r="V180" s="17" t="s">
        <v>94</v>
      </c>
      <c r="W180" s="17"/>
      <c r="X180" s="14"/>
      <c r="Y180" s="14" t="s">
        <v>1740</v>
      </c>
      <c r="Z180" s="14"/>
      <c r="AA180" s="14"/>
      <c r="AB180" s="14"/>
      <c r="AC180" s="14"/>
      <c r="AD180" s="14"/>
      <c r="AE180" s="16" t="s">
        <v>1741</v>
      </c>
      <c r="AF180" s="14"/>
      <c r="AG180" s="14" t="s">
        <v>925</v>
      </c>
      <c r="AH180" s="14" t="s">
        <v>1742</v>
      </c>
    </row>
    <row r="181" customFormat="false" ht="23.85" hidden="false" customHeight="false" outlineLevel="0" collapsed="false">
      <c r="A181" s="14" t="s">
        <v>1743</v>
      </c>
      <c r="B181" s="14" t="s">
        <v>1744</v>
      </c>
      <c r="C181" s="14" t="s">
        <v>123</v>
      </c>
      <c r="D181" s="14"/>
      <c r="E181" s="14" t="s">
        <v>6</v>
      </c>
      <c r="F181" s="14" t="s">
        <v>1745</v>
      </c>
      <c r="G181" s="15" t="s">
        <v>1736</v>
      </c>
      <c r="H181" s="14" t="s">
        <v>1737</v>
      </c>
      <c r="I181" s="14" t="s">
        <v>72</v>
      </c>
      <c r="J181" s="14" t="s">
        <v>8</v>
      </c>
      <c r="K181" s="14" t="s">
        <v>73</v>
      </c>
      <c r="L181" s="15" t="s">
        <v>74</v>
      </c>
      <c r="M181" s="14" t="s">
        <v>1746</v>
      </c>
      <c r="N181" s="16" t="s">
        <v>1747</v>
      </c>
      <c r="O181" s="15"/>
      <c r="P181" s="15" t="n">
        <v>2004</v>
      </c>
      <c r="Q181" s="15" t="n">
        <f aca="false">IFERROR(VLOOKUP(J181,Parametros!$A$5:$B$9,2,FALSE()),0)</f>
        <v>3</v>
      </c>
      <c r="R181" s="15" t="n">
        <f aca="false">IFERROR(VLOOKUP(H181,Parametros!$D$5:$E$23,2,FALSE()),1)</f>
        <v>2</v>
      </c>
      <c r="S181" s="15" t="n">
        <f aca="false">IF(OR(N(O181)&gt;=Parametros!$H$9,AND(N(P181)&gt;0,N(P181)&lt;=Parametros!$H$10)),1,0)</f>
        <v>0</v>
      </c>
      <c r="T181" s="15" t="n">
        <f aca="false">Q181+R181+S181</f>
        <v>5</v>
      </c>
      <c r="U181" s="15" t="str">
        <f aca="false">IF(OR(V181="Inactive",V181="No encontrada",V181="Duplicado"),"Descartada",IF(AND(T181&gt;=Parametros!$H$5,S181=1),"A",IF(T181&gt;=Parametros!$H$6,"B","C")))</f>
        <v>B</v>
      </c>
      <c r="V181" s="17" t="s">
        <v>94</v>
      </c>
      <c r="W181" s="17"/>
      <c r="X181" s="14"/>
      <c r="Y181" s="14" t="s">
        <v>1748</v>
      </c>
      <c r="Z181" s="14"/>
      <c r="AA181" s="14"/>
      <c r="AB181" s="14"/>
      <c r="AC181" s="14"/>
      <c r="AD181" s="14"/>
      <c r="AE181" s="16" t="s">
        <v>1749</v>
      </c>
      <c r="AF181" s="14"/>
      <c r="AG181" s="14" t="s">
        <v>925</v>
      </c>
      <c r="AH181" s="14" t="s">
        <v>1742</v>
      </c>
    </row>
    <row r="182" customFormat="false" ht="23.85" hidden="false" customHeight="false" outlineLevel="0" collapsed="false">
      <c r="A182" s="14" t="s">
        <v>1750</v>
      </c>
      <c r="B182" s="14" t="s">
        <v>1751</v>
      </c>
      <c r="C182" s="14" t="s">
        <v>123</v>
      </c>
      <c r="D182" s="14"/>
      <c r="E182" s="14" t="s">
        <v>6</v>
      </c>
      <c r="F182" s="14" t="s">
        <v>1752</v>
      </c>
      <c r="G182" s="15" t="s">
        <v>1736</v>
      </c>
      <c r="H182" s="14" t="s">
        <v>1737</v>
      </c>
      <c r="I182" s="14" t="s">
        <v>89</v>
      </c>
      <c r="J182" s="14" t="s">
        <v>210</v>
      </c>
      <c r="K182" s="14" t="s">
        <v>73</v>
      </c>
      <c r="L182" s="15" t="s">
        <v>74</v>
      </c>
      <c r="M182" s="14" t="s">
        <v>1753</v>
      </c>
      <c r="N182" s="16" t="s">
        <v>1754</v>
      </c>
      <c r="O182" s="15"/>
      <c r="P182" s="15" t="n">
        <v>2009</v>
      </c>
      <c r="Q182" s="15" t="n">
        <f aca="false">IFERROR(VLOOKUP(J182,Parametros!$A$5:$B$9,2,FALSE()),0)</f>
        <v>1</v>
      </c>
      <c r="R182" s="15" t="n">
        <f aca="false">IFERROR(VLOOKUP(H182,Parametros!$D$5:$E$23,2,FALSE()),1)</f>
        <v>2</v>
      </c>
      <c r="S182" s="15" t="n">
        <f aca="false">IF(OR(N(O182)&gt;=Parametros!$H$9,AND(N(P182)&gt;0,N(P182)&lt;=Parametros!$H$10)),1,0)</f>
        <v>0</v>
      </c>
      <c r="T182" s="15" t="n">
        <f aca="false">Q182+R182+S182</f>
        <v>3</v>
      </c>
      <c r="U182" s="15" t="str">
        <f aca="false">IF(OR(V182="Inactive",V182="No encontrada",V182="Duplicado"),"Descartada",IF(AND(T182&gt;=Parametros!$H$5,S182=1),"A",IF(T182&gt;=Parametros!$H$6,"B","C")))</f>
        <v>C</v>
      </c>
      <c r="V182" s="17" t="s">
        <v>94</v>
      </c>
      <c r="W182" s="17"/>
      <c r="X182" s="14"/>
      <c r="Y182" s="14"/>
      <c r="Z182" s="14"/>
      <c r="AA182" s="14"/>
      <c r="AB182" s="14"/>
      <c r="AC182" s="14"/>
      <c r="AD182" s="14"/>
      <c r="AE182" s="14"/>
      <c r="AF182" s="14" t="s">
        <v>267</v>
      </c>
      <c r="AG182" s="14" t="s">
        <v>1755</v>
      </c>
      <c r="AH182" s="14" t="s">
        <v>1742</v>
      </c>
    </row>
    <row r="183" customFormat="false" ht="23.85" hidden="false" customHeight="false" outlineLevel="0" collapsed="false">
      <c r="A183" s="14" t="s">
        <v>1756</v>
      </c>
      <c r="B183" s="14" t="s">
        <v>1757</v>
      </c>
      <c r="C183" s="14" t="s">
        <v>563</v>
      </c>
      <c r="D183" s="14"/>
      <c r="E183" s="14" t="s">
        <v>6</v>
      </c>
      <c r="F183" s="14" t="s">
        <v>1758</v>
      </c>
      <c r="G183" s="15" t="s">
        <v>1736</v>
      </c>
      <c r="H183" s="14" t="s">
        <v>1737</v>
      </c>
      <c r="I183" s="14" t="s">
        <v>72</v>
      </c>
      <c r="J183" s="14" t="s">
        <v>8</v>
      </c>
      <c r="K183" s="14" t="s">
        <v>61</v>
      </c>
      <c r="L183" s="15" t="s">
        <v>91</v>
      </c>
      <c r="M183" s="14" t="s">
        <v>1759</v>
      </c>
      <c r="N183" s="16" t="s">
        <v>1760</v>
      </c>
      <c r="O183" s="15"/>
      <c r="P183" s="15" t="n">
        <v>2014</v>
      </c>
      <c r="Q183" s="15" t="n">
        <f aca="false">IFERROR(VLOOKUP(J183,Parametros!$A$5:$B$9,2,FALSE()),0)</f>
        <v>3</v>
      </c>
      <c r="R183" s="15" t="n">
        <f aca="false">IFERROR(VLOOKUP(H183,Parametros!$D$5:$E$23,2,FALSE()),1)</f>
        <v>2</v>
      </c>
      <c r="S183" s="15" t="n">
        <f aca="false">IF(OR(N(O183)&gt;=Parametros!$H$9,AND(N(P183)&gt;0,N(P183)&lt;=Parametros!$H$10)),1,0)</f>
        <v>0</v>
      </c>
      <c r="T183" s="15" t="n">
        <f aca="false">Q183+R183+S183</f>
        <v>5</v>
      </c>
      <c r="U183" s="15" t="str">
        <f aca="false">IF(OR(V183="Inactive",V183="No encontrada",V183="Duplicado"),"Descartada",IF(AND(T183&gt;=Parametros!$H$5,S183=1),"A",IF(T183&gt;=Parametros!$H$6,"B","C")))</f>
        <v>B</v>
      </c>
      <c r="V183" s="17" t="s">
        <v>94</v>
      </c>
      <c r="W183" s="17"/>
      <c r="X183" s="14"/>
      <c r="Y183" s="14" t="s">
        <v>1761</v>
      </c>
      <c r="Z183" s="14"/>
      <c r="AA183" s="14"/>
      <c r="AB183" s="14"/>
      <c r="AC183" s="14"/>
      <c r="AD183" s="16" t="s">
        <v>1762</v>
      </c>
      <c r="AE183" s="16" t="s">
        <v>1760</v>
      </c>
      <c r="AF183" s="14"/>
      <c r="AG183" s="14" t="s">
        <v>1763</v>
      </c>
      <c r="AH183" s="14" t="s">
        <v>1742</v>
      </c>
    </row>
    <row r="184" customFormat="false" ht="23.85" hidden="false" customHeight="false" outlineLevel="0" collapsed="false">
      <c r="A184" s="14" t="s">
        <v>1764</v>
      </c>
      <c r="B184" s="14" t="s">
        <v>1765</v>
      </c>
      <c r="C184" s="14" t="s">
        <v>563</v>
      </c>
      <c r="D184" s="14"/>
      <c r="E184" s="14" t="s">
        <v>6</v>
      </c>
      <c r="F184" s="14" t="s">
        <v>1766</v>
      </c>
      <c r="G184" s="15" t="s">
        <v>1736</v>
      </c>
      <c r="H184" s="14" t="s">
        <v>1737</v>
      </c>
      <c r="I184" s="14" t="s">
        <v>210</v>
      </c>
      <c r="J184" s="14" t="s">
        <v>8</v>
      </c>
      <c r="K184" s="14" t="s">
        <v>61</v>
      </c>
      <c r="L184" s="15" t="s">
        <v>91</v>
      </c>
      <c r="M184" s="14" t="s">
        <v>1767</v>
      </c>
      <c r="N184" s="16" t="s">
        <v>1768</v>
      </c>
      <c r="O184" s="15"/>
      <c r="P184" s="15" t="n">
        <v>2011</v>
      </c>
      <c r="Q184" s="15" t="n">
        <f aca="false">IFERROR(VLOOKUP(J184,Parametros!$A$5:$B$9,2,FALSE()),0)</f>
        <v>3</v>
      </c>
      <c r="R184" s="15" t="n">
        <f aca="false">IFERROR(VLOOKUP(H184,Parametros!$D$5:$E$23,2,FALSE()),1)</f>
        <v>2</v>
      </c>
      <c r="S184" s="15" t="n">
        <f aca="false">IF(OR(N(O184)&gt;=Parametros!$H$9,AND(N(P184)&gt;0,N(P184)&lt;=Parametros!$H$10)),1,0)</f>
        <v>0</v>
      </c>
      <c r="T184" s="15" t="n">
        <f aca="false">Q184+R184+S184</f>
        <v>5</v>
      </c>
      <c r="U184" s="15" t="str">
        <f aca="false">IF(OR(V184="Inactive",V184="No encontrada",V184="Duplicado"),"Descartada",IF(AND(T184&gt;=Parametros!$H$5,S184=1),"A",IF(T184&gt;=Parametros!$H$6,"B","C")))</f>
        <v>B</v>
      </c>
      <c r="V184" s="17" t="s">
        <v>94</v>
      </c>
      <c r="W184" s="17"/>
      <c r="X184" s="14"/>
      <c r="Y184" s="14"/>
      <c r="Z184" s="14"/>
      <c r="AA184" s="14"/>
      <c r="AB184" s="14"/>
      <c r="AC184" s="14"/>
      <c r="AD184" s="16" t="s">
        <v>1769</v>
      </c>
      <c r="AE184" s="16" t="s">
        <v>1770</v>
      </c>
      <c r="AF184" s="14"/>
      <c r="AG184" s="14" t="s">
        <v>925</v>
      </c>
      <c r="AH184" s="14" t="s">
        <v>1742</v>
      </c>
    </row>
    <row r="185" customFormat="false" ht="23.85" hidden="false" customHeight="false" outlineLevel="0" collapsed="false">
      <c r="A185" s="14" t="s">
        <v>1771</v>
      </c>
      <c r="B185" s="14" t="s">
        <v>1772</v>
      </c>
      <c r="C185" s="14" t="s">
        <v>876</v>
      </c>
      <c r="D185" s="14"/>
      <c r="E185" s="14" t="s">
        <v>9</v>
      </c>
      <c r="F185" s="14" t="s">
        <v>1773</v>
      </c>
      <c r="G185" s="15" t="s">
        <v>1736</v>
      </c>
      <c r="H185" s="14" t="s">
        <v>1737</v>
      </c>
      <c r="I185" s="14" t="s">
        <v>72</v>
      </c>
      <c r="J185" s="14" t="s">
        <v>8</v>
      </c>
      <c r="K185" s="14" t="s">
        <v>73</v>
      </c>
      <c r="L185" s="15" t="s">
        <v>74</v>
      </c>
      <c r="M185" s="14" t="s">
        <v>1774</v>
      </c>
      <c r="N185" s="16" t="s">
        <v>1775</v>
      </c>
      <c r="O185" s="15"/>
      <c r="P185" s="15"/>
      <c r="Q185" s="15" t="n">
        <f aca="false">IFERROR(VLOOKUP(J185,Parametros!$A$5:$B$9,2,FALSE()),0)</f>
        <v>3</v>
      </c>
      <c r="R185" s="15" t="n">
        <f aca="false">IFERROR(VLOOKUP(H185,Parametros!$D$5:$E$23,2,FALSE()),1)</f>
        <v>2</v>
      </c>
      <c r="S185" s="15" t="n">
        <f aca="false">IF(OR(N(O185)&gt;=Parametros!$H$9,AND(N(P185)&gt;0,N(P185)&lt;=Parametros!$H$10)),1,0)</f>
        <v>0</v>
      </c>
      <c r="T185" s="15" t="n">
        <f aca="false">Q185+R185+S185</f>
        <v>5</v>
      </c>
      <c r="U185" s="15" t="str">
        <f aca="false">IF(OR(V185="Inactive",V185="No encontrada",V185="Duplicado"),"Descartada",IF(AND(T185&gt;=Parametros!$H$5,S185=1),"A",IF(T185&gt;=Parametros!$H$6,"B","C")))</f>
        <v>B</v>
      </c>
      <c r="V185" s="17" t="s">
        <v>94</v>
      </c>
      <c r="W185" s="17"/>
      <c r="X185" s="14" t="s">
        <v>1776</v>
      </c>
      <c r="Y185" s="14" t="s">
        <v>1777</v>
      </c>
      <c r="Z185" s="14"/>
      <c r="AA185" s="14"/>
      <c r="AB185" s="14"/>
      <c r="AC185" s="14"/>
      <c r="AD185" s="14"/>
      <c r="AE185" s="16" t="s">
        <v>1775</v>
      </c>
      <c r="AF185" s="14"/>
      <c r="AG185" s="14" t="s">
        <v>100</v>
      </c>
      <c r="AH185" s="14" t="s">
        <v>1778</v>
      </c>
    </row>
    <row r="186" customFormat="false" ht="23.85" hidden="false" customHeight="false" outlineLevel="0" collapsed="false">
      <c r="A186" s="14" t="s">
        <v>1779</v>
      </c>
      <c r="B186" s="14" t="s">
        <v>1780</v>
      </c>
      <c r="C186" s="14" t="s">
        <v>714</v>
      </c>
      <c r="D186" s="14"/>
      <c r="E186" s="14" t="s">
        <v>9</v>
      </c>
      <c r="F186" s="14" t="s">
        <v>1781</v>
      </c>
      <c r="G186" s="15" t="s">
        <v>1736</v>
      </c>
      <c r="H186" s="14" t="s">
        <v>1737</v>
      </c>
      <c r="I186" s="14" t="s">
        <v>72</v>
      </c>
      <c r="J186" s="14" t="s">
        <v>235</v>
      </c>
      <c r="K186" s="14" t="s">
        <v>61</v>
      </c>
      <c r="L186" s="15" t="s">
        <v>91</v>
      </c>
      <c r="M186" s="14" t="s">
        <v>1782</v>
      </c>
      <c r="N186" s="16" t="s">
        <v>1783</v>
      </c>
      <c r="O186" s="15"/>
      <c r="P186" s="15" t="n">
        <v>2012</v>
      </c>
      <c r="Q186" s="15" t="n">
        <f aca="false">IFERROR(VLOOKUP(J186,Parametros!$A$5:$B$9,2,FALSE()),0)</f>
        <v>2</v>
      </c>
      <c r="R186" s="15" t="n">
        <f aca="false">IFERROR(VLOOKUP(H186,Parametros!$D$5:$E$23,2,FALSE()),1)</f>
        <v>2</v>
      </c>
      <c r="S186" s="15" t="n">
        <f aca="false">IF(OR(N(O186)&gt;=Parametros!$H$9,AND(N(P186)&gt;0,N(P186)&lt;=Parametros!$H$10)),1,0)</f>
        <v>0</v>
      </c>
      <c r="T186" s="15" t="n">
        <f aca="false">Q186+R186+S186</f>
        <v>4</v>
      </c>
      <c r="U186" s="15" t="str">
        <f aca="false">IF(OR(V186="Inactive",V186="No encontrada",V186="Duplicado"),"Descartada",IF(AND(T186&gt;=Parametros!$H$5,S186=1),"A",IF(T186&gt;=Parametros!$H$6,"B","C")))</f>
        <v>B</v>
      </c>
      <c r="V186" s="17" t="s">
        <v>94</v>
      </c>
      <c r="W186" s="17"/>
      <c r="X186" s="14" t="s">
        <v>1784</v>
      </c>
      <c r="Y186" s="14" t="s">
        <v>1785</v>
      </c>
      <c r="Z186" s="14"/>
      <c r="AA186" s="14"/>
      <c r="AB186" s="14"/>
      <c r="AC186" s="14"/>
      <c r="AD186" s="16" t="s">
        <v>1783</v>
      </c>
      <c r="AE186" s="16" t="s">
        <v>1786</v>
      </c>
      <c r="AF186" s="14"/>
      <c r="AG186" s="14" t="s">
        <v>1711</v>
      </c>
      <c r="AH186" s="14" t="s">
        <v>144</v>
      </c>
    </row>
    <row r="187" customFormat="false" ht="23.85" hidden="false" customHeight="false" outlineLevel="0" collapsed="false">
      <c r="A187" s="14" t="s">
        <v>1787</v>
      </c>
      <c r="B187" s="14" t="s">
        <v>1788</v>
      </c>
      <c r="C187" s="14" t="s">
        <v>68</v>
      </c>
      <c r="D187" s="14"/>
      <c r="E187" s="14" t="s">
        <v>6</v>
      </c>
      <c r="F187" s="14" t="s">
        <v>1789</v>
      </c>
      <c r="G187" s="15" t="s">
        <v>1790</v>
      </c>
      <c r="H187" s="14" t="s">
        <v>1791</v>
      </c>
      <c r="I187" s="14" t="s">
        <v>72</v>
      </c>
      <c r="J187" s="14" t="s">
        <v>8</v>
      </c>
      <c r="K187" s="14" t="s">
        <v>90</v>
      </c>
      <c r="L187" s="15" t="s">
        <v>91</v>
      </c>
      <c r="M187" s="14" t="s">
        <v>1792</v>
      </c>
      <c r="N187" s="16" t="s">
        <v>1793</v>
      </c>
      <c r="O187" s="15"/>
      <c r="P187" s="15" t="n">
        <v>2009</v>
      </c>
      <c r="Q187" s="15" t="n">
        <f aca="false">IFERROR(VLOOKUP(J187,Parametros!$A$5:$B$9,2,FALSE()),0)</f>
        <v>3</v>
      </c>
      <c r="R187" s="15" t="n">
        <f aca="false">IFERROR(VLOOKUP(H187,Parametros!$D$5:$E$23,2,FALSE()),1)</f>
        <v>2</v>
      </c>
      <c r="S187" s="15" t="n">
        <f aca="false">IF(OR(N(O187)&gt;=Parametros!$H$9,AND(N(P187)&gt;0,N(P187)&lt;=Parametros!$H$10)),1,0)</f>
        <v>0</v>
      </c>
      <c r="T187" s="15" t="n">
        <f aca="false">Q187+R187+S187</f>
        <v>5</v>
      </c>
      <c r="U187" s="15" t="str">
        <f aca="false">IF(OR(V187="Inactive",V187="No encontrada",V187="Duplicado"),"Descartada",IF(AND(T187&gt;=Parametros!$H$5,S187=1),"A",IF(T187&gt;=Parametros!$H$6,"B","C")))</f>
        <v>B</v>
      </c>
      <c r="V187" s="17" t="s">
        <v>94</v>
      </c>
      <c r="W187" s="17"/>
      <c r="X187" s="14" t="s">
        <v>1794</v>
      </c>
      <c r="Y187" s="14" t="s">
        <v>1795</v>
      </c>
      <c r="Z187" s="14"/>
      <c r="AA187" s="16" t="s">
        <v>1796</v>
      </c>
      <c r="AB187" s="14"/>
      <c r="AC187" s="14"/>
      <c r="AD187" s="16" t="s">
        <v>1797</v>
      </c>
      <c r="AE187" s="16" t="s">
        <v>1793</v>
      </c>
      <c r="AF187" s="14"/>
      <c r="AG187" s="14" t="s">
        <v>1798</v>
      </c>
      <c r="AH187" s="14" t="s">
        <v>1799</v>
      </c>
    </row>
    <row r="188" customFormat="false" ht="23.85" hidden="false" customHeight="false" outlineLevel="0" collapsed="false">
      <c r="A188" s="14" t="s">
        <v>1800</v>
      </c>
      <c r="B188" s="14" t="s">
        <v>1801</v>
      </c>
      <c r="C188" s="14" t="s">
        <v>68</v>
      </c>
      <c r="D188" s="14"/>
      <c r="E188" s="14" t="s">
        <v>6</v>
      </c>
      <c r="F188" s="14" t="s">
        <v>1802</v>
      </c>
      <c r="G188" s="15" t="s">
        <v>1790</v>
      </c>
      <c r="H188" s="14" t="s">
        <v>1791</v>
      </c>
      <c r="I188" s="14" t="s">
        <v>210</v>
      </c>
      <c r="J188" s="14" t="s">
        <v>8</v>
      </c>
      <c r="K188" s="14" t="s">
        <v>61</v>
      </c>
      <c r="L188" s="15" t="s">
        <v>91</v>
      </c>
      <c r="M188" s="14" t="s">
        <v>1803</v>
      </c>
      <c r="N188" s="16" t="s">
        <v>1804</v>
      </c>
      <c r="O188" s="15" t="n">
        <v>1</v>
      </c>
      <c r="P188" s="15" t="n">
        <v>1985</v>
      </c>
      <c r="Q188" s="15" t="n">
        <f aca="false">IFERROR(VLOOKUP(J188,Parametros!$A$5:$B$9,2,FALSE()),0)</f>
        <v>3</v>
      </c>
      <c r="R188" s="15" t="n">
        <f aca="false">IFERROR(VLOOKUP(H188,Parametros!$D$5:$E$23,2,FALSE()),1)</f>
        <v>2</v>
      </c>
      <c r="S188" s="15" t="n">
        <f aca="false">IF(OR(N(O188)&gt;=Parametros!$H$9,AND(N(P188)&gt;0,N(P188)&lt;=Parametros!$H$10)),1,0)</f>
        <v>1</v>
      </c>
      <c r="T188" s="15" t="n">
        <f aca="false">Q188+R188+S188</f>
        <v>6</v>
      </c>
      <c r="U188" s="15" t="str">
        <f aca="false">IF(OR(V188="Inactive",V188="No encontrada",V188="Duplicado"),"Descartada",IF(AND(T188&gt;=Parametros!$H$5,S188=1),"A",IF(T188&gt;=Parametros!$H$6,"B","C")))</f>
        <v>A</v>
      </c>
      <c r="V188" s="17" t="s">
        <v>94</v>
      </c>
      <c r="W188" s="17"/>
      <c r="X188" s="14" t="s">
        <v>1805</v>
      </c>
      <c r="Y188" s="14" t="s">
        <v>1806</v>
      </c>
      <c r="Z188" s="14"/>
      <c r="AA188" s="14"/>
      <c r="AB188" s="14"/>
      <c r="AC188" s="14"/>
      <c r="AD188" s="16" t="s">
        <v>1807</v>
      </c>
      <c r="AE188" s="16" t="s">
        <v>1804</v>
      </c>
      <c r="AF188" s="14"/>
      <c r="AG188" s="14" t="s">
        <v>100</v>
      </c>
      <c r="AH188" s="14" t="s">
        <v>1799</v>
      </c>
    </row>
    <row r="189" customFormat="false" ht="15" hidden="false" customHeight="false" outlineLevel="0" collapsed="false">
      <c r="A189" s="14" t="s">
        <v>1808</v>
      </c>
      <c r="B189" s="14" t="s">
        <v>1809</v>
      </c>
      <c r="C189" s="14" t="s">
        <v>68</v>
      </c>
      <c r="D189" s="14"/>
      <c r="E189" s="14" t="s">
        <v>6</v>
      </c>
      <c r="F189" s="14" t="s">
        <v>1810</v>
      </c>
      <c r="G189" s="15" t="s">
        <v>1790</v>
      </c>
      <c r="H189" s="14" t="s">
        <v>1791</v>
      </c>
      <c r="I189" s="14" t="s">
        <v>210</v>
      </c>
      <c r="J189" s="14" t="s">
        <v>210</v>
      </c>
      <c r="K189" s="14" t="s">
        <v>61</v>
      </c>
      <c r="L189" s="15" t="s">
        <v>91</v>
      </c>
      <c r="M189" s="14" t="s">
        <v>1811</v>
      </c>
      <c r="N189" s="16" t="s">
        <v>1812</v>
      </c>
      <c r="O189" s="15"/>
      <c r="P189" s="15" t="n">
        <v>2011</v>
      </c>
      <c r="Q189" s="15" t="n">
        <f aca="false">IFERROR(VLOOKUP(J189,Parametros!$A$5:$B$9,2,FALSE()),0)</f>
        <v>1</v>
      </c>
      <c r="R189" s="15" t="n">
        <f aca="false">IFERROR(VLOOKUP(H189,Parametros!$D$5:$E$23,2,FALSE()),1)</f>
        <v>2</v>
      </c>
      <c r="S189" s="15" t="n">
        <f aca="false">IF(OR(N(O189)&gt;=Parametros!$H$9,AND(N(P189)&gt;0,N(P189)&lt;=Parametros!$H$10)),1,0)</f>
        <v>0</v>
      </c>
      <c r="T189" s="15" t="n">
        <f aca="false">Q189+R189+S189</f>
        <v>3</v>
      </c>
      <c r="U189" s="15" t="str">
        <f aca="false">IF(OR(V189="Inactive",V189="No encontrada",V189="Duplicado"),"Descartada",IF(AND(T189&gt;=Parametros!$H$5,S189=1),"A",IF(T189&gt;=Parametros!$H$6,"B","C")))</f>
        <v>C</v>
      </c>
      <c r="V189" s="17" t="s">
        <v>94</v>
      </c>
      <c r="W189" s="17"/>
      <c r="X189" s="14" t="s">
        <v>1813</v>
      </c>
      <c r="Y189" s="14"/>
      <c r="Z189" s="14"/>
      <c r="AA189" s="14"/>
      <c r="AB189" s="14"/>
      <c r="AC189" s="14"/>
      <c r="AD189" s="16" t="s">
        <v>1812</v>
      </c>
      <c r="AE189" s="16" t="s">
        <v>1812</v>
      </c>
      <c r="AF189" s="14"/>
      <c r="AG189" s="14" t="s">
        <v>1814</v>
      </c>
      <c r="AH189" s="14" t="s">
        <v>1799</v>
      </c>
    </row>
    <row r="190" customFormat="false" ht="15" hidden="false" customHeight="false" outlineLevel="0" collapsed="false">
      <c r="A190" s="14" t="s">
        <v>1815</v>
      </c>
      <c r="B190" s="14" t="s">
        <v>1816</v>
      </c>
      <c r="C190" s="14" t="s">
        <v>563</v>
      </c>
      <c r="D190" s="14"/>
      <c r="E190" s="14" t="s">
        <v>6</v>
      </c>
      <c r="F190" s="14" t="s">
        <v>1817</v>
      </c>
      <c r="G190" s="15" t="s">
        <v>1790</v>
      </c>
      <c r="H190" s="14" t="s">
        <v>1791</v>
      </c>
      <c r="I190" s="14" t="s">
        <v>72</v>
      </c>
      <c r="J190" s="14" t="s">
        <v>148</v>
      </c>
      <c r="K190" s="14" t="s">
        <v>90</v>
      </c>
      <c r="L190" s="15" t="s">
        <v>91</v>
      </c>
      <c r="M190" s="14" t="s">
        <v>1818</v>
      </c>
      <c r="N190" s="16" t="s">
        <v>1819</v>
      </c>
      <c r="O190" s="15"/>
      <c r="P190" s="15" t="n">
        <v>2003</v>
      </c>
      <c r="Q190" s="15" t="n">
        <f aca="false">IFERROR(VLOOKUP(J190,Parametros!$A$5:$B$9,2,FALSE()),0)</f>
        <v>3</v>
      </c>
      <c r="R190" s="15" t="n">
        <f aca="false">IFERROR(VLOOKUP(H190,Parametros!$D$5:$E$23,2,FALSE()),1)</f>
        <v>2</v>
      </c>
      <c r="S190" s="15" t="n">
        <f aca="false">IF(OR(N(O190)&gt;=Parametros!$H$9,AND(N(P190)&gt;0,N(P190)&lt;=Parametros!$H$10)),1,0)</f>
        <v>0</v>
      </c>
      <c r="T190" s="15" t="n">
        <f aca="false">Q190+R190+S190</f>
        <v>5</v>
      </c>
      <c r="U190" s="15" t="str">
        <f aca="false">IF(OR(V190="Inactive",V190="No encontrada",V190="Duplicado"),"Descartada",IF(AND(T190&gt;=Parametros!$H$5,S190=1),"A",IF(T190&gt;=Parametros!$H$6,"B","C")))</f>
        <v>B</v>
      </c>
      <c r="V190" s="17" t="s">
        <v>94</v>
      </c>
      <c r="W190" s="17"/>
      <c r="X190" s="14" t="s">
        <v>1820</v>
      </c>
      <c r="Y190" s="14" t="s">
        <v>1821</v>
      </c>
      <c r="Z190" s="14" t="s">
        <v>1822</v>
      </c>
      <c r="AA190" s="16" t="s">
        <v>1823</v>
      </c>
      <c r="AB190" s="14"/>
      <c r="AC190" s="14"/>
      <c r="AD190" s="16" t="s">
        <v>1824</v>
      </c>
      <c r="AE190" s="16" t="s">
        <v>1824</v>
      </c>
      <c r="AF190" s="14"/>
      <c r="AG190" s="14"/>
      <c r="AH190" s="14" t="s">
        <v>1799</v>
      </c>
    </row>
    <row r="191" customFormat="false" ht="23.85" hidden="false" customHeight="false" outlineLevel="0" collapsed="false">
      <c r="A191" s="14" t="s">
        <v>1825</v>
      </c>
      <c r="B191" s="14" t="s">
        <v>1826</v>
      </c>
      <c r="C191" s="14" t="s">
        <v>1827</v>
      </c>
      <c r="D191" s="14"/>
      <c r="E191" s="14" t="s">
        <v>9</v>
      </c>
      <c r="F191" s="14" t="s">
        <v>1828</v>
      </c>
      <c r="G191" s="15" t="s">
        <v>1790</v>
      </c>
      <c r="H191" s="14" t="s">
        <v>1791</v>
      </c>
      <c r="I191" s="14" t="s">
        <v>210</v>
      </c>
      <c r="J191" s="14" t="s">
        <v>8</v>
      </c>
      <c r="K191" s="14" t="s">
        <v>211</v>
      </c>
      <c r="L191" s="15" t="s">
        <v>91</v>
      </c>
      <c r="M191" s="14" t="s">
        <v>1829</v>
      </c>
      <c r="N191" s="16" t="s">
        <v>1830</v>
      </c>
      <c r="O191" s="15"/>
      <c r="P191" s="15"/>
      <c r="Q191" s="15" t="n">
        <f aca="false">IFERROR(VLOOKUP(J191,Parametros!$A$5:$B$9,2,FALSE()),0)</f>
        <v>3</v>
      </c>
      <c r="R191" s="15" t="n">
        <f aca="false">IFERROR(VLOOKUP(H191,Parametros!$D$5:$E$23,2,FALSE()),1)</f>
        <v>2</v>
      </c>
      <c r="S191" s="15" t="n">
        <f aca="false">IF(OR(N(O191)&gt;=Parametros!$H$9,AND(N(P191)&gt;0,N(P191)&lt;=Parametros!$H$10)),1,0)</f>
        <v>0</v>
      </c>
      <c r="T191" s="15" t="n">
        <f aca="false">Q191+R191+S191</f>
        <v>5</v>
      </c>
      <c r="U191" s="15" t="str">
        <f aca="false">IF(OR(V191="Inactive",V191="No encontrada",V191="Duplicado"),"Descartada",IF(AND(T191&gt;=Parametros!$H$5,S191=1),"A",IF(T191&gt;=Parametros!$H$6,"B","C")))</f>
        <v>B</v>
      </c>
      <c r="V191" s="17" t="s">
        <v>94</v>
      </c>
      <c r="W191" s="17"/>
      <c r="X191" s="14" t="s">
        <v>1831</v>
      </c>
      <c r="Y191" s="14" t="s">
        <v>1832</v>
      </c>
      <c r="Z191" s="14"/>
      <c r="AA191" s="16" t="s">
        <v>1833</v>
      </c>
      <c r="AB191" s="16" t="s">
        <v>1834</v>
      </c>
      <c r="AC191" s="14"/>
      <c r="AD191" s="16" t="s">
        <v>1830</v>
      </c>
      <c r="AE191" s="16" t="s">
        <v>1830</v>
      </c>
      <c r="AF191" s="14"/>
      <c r="AG191" s="14" t="s">
        <v>100</v>
      </c>
      <c r="AH191" s="14" t="s">
        <v>1835</v>
      </c>
    </row>
    <row r="192" customFormat="false" ht="15" hidden="false" customHeight="false" outlineLevel="0" collapsed="false">
      <c r="A192" s="14" t="s">
        <v>1836</v>
      </c>
      <c r="B192" s="14" t="s">
        <v>1837</v>
      </c>
      <c r="C192" s="14" t="s">
        <v>1827</v>
      </c>
      <c r="D192" s="14"/>
      <c r="E192" s="14" t="s">
        <v>9</v>
      </c>
      <c r="F192" s="14" t="s">
        <v>1838</v>
      </c>
      <c r="G192" s="15" t="s">
        <v>1790</v>
      </c>
      <c r="H192" s="14" t="s">
        <v>1791</v>
      </c>
      <c r="I192" s="14" t="s">
        <v>72</v>
      </c>
      <c r="J192" s="14" t="s">
        <v>199</v>
      </c>
      <c r="K192" s="14" t="s">
        <v>90</v>
      </c>
      <c r="L192" s="15" t="s">
        <v>91</v>
      </c>
      <c r="M192" s="14" t="s">
        <v>1839</v>
      </c>
      <c r="N192" s="16" t="s">
        <v>1840</v>
      </c>
      <c r="O192" s="15"/>
      <c r="P192" s="15" t="n">
        <v>2000</v>
      </c>
      <c r="Q192" s="15" t="n">
        <f aca="false">IFERROR(VLOOKUP(J192,Parametros!$A$5:$B$9,2,FALSE()),0)</f>
        <v>1</v>
      </c>
      <c r="R192" s="15" t="n">
        <f aca="false">IFERROR(VLOOKUP(H192,Parametros!$D$5:$E$23,2,FALSE()),1)</f>
        <v>2</v>
      </c>
      <c r="S192" s="15" t="n">
        <f aca="false">IF(OR(N(O192)&gt;=Parametros!$H$9,AND(N(P192)&gt;0,N(P192)&lt;=Parametros!$H$10)),1,0)</f>
        <v>1</v>
      </c>
      <c r="T192" s="15" t="n">
        <f aca="false">Q192+R192+S192</f>
        <v>4</v>
      </c>
      <c r="U192" s="15" t="str">
        <f aca="false">IF(OR(V192="Inactive",V192="No encontrada",V192="Duplicado"),"Descartada",IF(AND(T192&gt;=Parametros!$H$5,S192=1),"A",IF(T192&gt;=Parametros!$H$6,"B","C")))</f>
        <v>B</v>
      </c>
      <c r="V192" s="17" t="s">
        <v>94</v>
      </c>
      <c r="W192" s="17"/>
      <c r="X192" s="14" t="s">
        <v>1841</v>
      </c>
      <c r="Y192" s="14" t="s">
        <v>1842</v>
      </c>
      <c r="Z192" s="14" t="s">
        <v>1843</v>
      </c>
      <c r="AA192" s="16" t="s">
        <v>1844</v>
      </c>
      <c r="AB192" s="14"/>
      <c r="AC192" s="14"/>
      <c r="AD192" s="16" t="s">
        <v>1840</v>
      </c>
      <c r="AE192" s="16" t="s">
        <v>1845</v>
      </c>
      <c r="AF192" s="14"/>
      <c r="AG192" s="14"/>
      <c r="AH192" s="14" t="s">
        <v>1835</v>
      </c>
    </row>
    <row r="193" customFormat="false" ht="15" hidden="false" customHeight="false" outlineLevel="0" collapsed="false">
      <c r="A193" s="14" t="s">
        <v>1846</v>
      </c>
      <c r="B193" s="14" t="s">
        <v>1847</v>
      </c>
      <c r="C193" s="14" t="s">
        <v>1827</v>
      </c>
      <c r="D193" s="14"/>
      <c r="E193" s="14" t="s">
        <v>9</v>
      </c>
      <c r="F193" s="14" t="s">
        <v>1848</v>
      </c>
      <c r="G193" s="15" t="s">
        <v>1790</v>
      </c>
      <c r="H193" s="14" t="s">
        <v>1791</v>
      </c>
      <c r="I193" s="14" t="s">
        <v>210</v>
      </c>
      <c r="J193" s="14" t="s">
        <v>210</v>
      </c>
      <c r="K193" s="14" t="s">
        <v>61</v>
      </c>
      <c r="L193" s="15" t="s">
        <v>91</v>
      </c>
      <c r="M193" s="14" t="s">
        <v>1849</v>
      </c>
      <c r="N193" s="16" t="s">
        <v>1850</v>
      </c>
      <c r="O193" s="15"/>
      <c r="P193" s="15" t="n">
        <v>2007</v>
      </c>
      <c r="Q193" s="15" t="n">
        <f aca="false">IFERROR(VLOOKUP(J193,Parametros!$A$5:$B$9,2,FALSE()),0)</f>
        <v>1</v>
      </c>
      <c r="R193" s="15" t="n">
        <f aca="false">IFERROR(VLOOKUP(H193,Parametros!$D$5:$E$23,2,FALSE()),1)</f>
        <v>2</v>
      </c>
      <c r="S193" s="15" t="n">
        <f aca="false">IF(OR(N(O193)&gt;=Parametros!$H$9,AND(N(P193)&gt;0,N(P193)&lt;=Parametros!$H$10)),1,0)</f>
        <v>0</v>
      </c>
      <c r="T193" s="15" t="n">
        <f aca="false">Q193+R193+S193</f>
        <v>3</v>
      </c>
      <c r="U193" s="15" t="str">
        <f aca="false">IF(OR(V193="Inactive",V193="No encontrada",V193="Duplicado"),"Descartada",IF(AND(T193&gt;=Parametros!$H$5,S193=1),"A",IF(T193&gt;=Parametros!$H$6,"B","C")))</f>
        <v>C</v>
      </c>
      <c r="V193" s="17" t="s">
        <v>94</v>
      </c>
      <c r="W193" s="17"/>
      <c r="X193" s="14"/>
      <c r="Y193" s="14"/>
      <c r="Z193" s="14"/>
      <c r="AA193" s="14"/>
      <c r="AB193" s="14"/>
      <c r="AC193" s="14"/>
      <c r="AD193" s="16" t="s">
        <v>1850</v>
      </c>
      <c r="AE193" s="14"/>
      <c r="AF193" s="14"/>
      <c r="AG193" s="14" t="s">
        <v>1851</v>
      </c>
      <c r="AH193" s="14" t="s">
        <v>1835</v>
      </c>
    </row>
    <row r="194" customFormat="false" ht="15" hidden="false" customHeight="false" outlineLevel="0" collapsed="false">
      <c r="A194" s="14" t="s">
        <v>1852</v>
      </c>
      <c r="B194" s="14" t="s">
        <v>1853</v>
      </c>
      <c r="C194" s="14" t="s">
        <v>68</v>
      </c>
      <c r="D194" s="14"/>
      <c r="E194" s="14" t="s">
        <v>6</v>
      </c>
      <c r="F194" s="14" t="s">
        <v>1854</v>
      </c>
      <c r="G194" s="15" t="s">
        <v>1790</v>
      </c>
      <c r="H194" s="14" t="s">
        <v>1791</v>
      </c>
      <c r="I194" s="14" t="s">
        <v>72</v>
      </c>
      <c r="J194" s="14" t="s">
        <v>199</v>
      </c>
      <c r="K194" s="14" t="s">
        <v>90</v>
      </c>
      <c r="L194" s="15" t="s">
        <v>91</v>
      </c>
      <c r="M194" s="14" t="s">
        <v>1855</v>
      </c>
      <c r="N194" s="16" t="s">
        <v>1856</v>
      </c>
      <c r="O194" s="15"/>
      <c r="P194" s="15" t="n">
        <v>1976</v>
      </c>
      <c r="Q194" s="15" t="n">
        <f aca="false">IFERROR(VLOOKUP(J194,Parametros!$A$5:$B$9,2,FALSE()),0)</f>
        <v>1</v>
      </c>
      <c r="R194" s="15" t="n">
        <f aca="false">IFERROR(VLOOKUP(H194,Parametros!$D$5:$E$23,2,FALSE()),1)</f>
        <v>2</v>
      </c>
      <c r="S194" s="15" t="n">
        <f aca="false">IF(OR(N(O194)&gt;=Parametros!$H$9,AND(N(P194)&gt;0,N(P194)&lt;=Parametros!$H$10)),1,0)</f>
        <v>1</v>
      </c>
      <c r="T194" s="15" t="n">
        <f aca="false">Q194+R194+S194</f>
        <v>4</v>
      </c>
      <c r="U194" s="15" t="str">
        <f aca="false">IF(OR(V194="Inactive",V194="No encontrada",V194="Duplicado"),"Descartada",IF(AND(T194&gt;=Parametros!$H$5,S194=1),"A",IF(T194&gt;=Parametros!$H$6,"B","C")))</f>
        <v>B</v>
      </c>
      <c r="V194" s="17" t="s">
        <v>94</v>
      </c>
      <c r="W194" s="17"/>
      <c r="X194" s="14" t="s">
        <v>1857</v>
      </c>
      <c r="Y194" s="14" t="s">
        <v>1858</v>
      </c>
      <c r="Z194" s="14" t="s">
        <v>1859</v>
      </c>
      <c r="AA194" s="16" t="s">
        <v>1860</v>
      </c>
      <c r="AB194" s="14"/>
      <c r="AC194" s="14"/>
      <c r="AD194" s="16" t="s">
        <v>1861</v>
      </c>
      <c r="AE194" s="16" t="s">
        <v>1856</v>
      </c>
      <c r="AF194" s="14"/>
      <c r="AG194" s="14"/>
      <c r="AH194" s="14" t="s">
        <v>1799</v>
      </c>
    </row>
    <row r="195" customFormat="false" ht="15" hidden="false" customHeight="false" outlineLevel="0" collapsed="false">
      <c r="A195" s="14" t="s">
        <v>1862</v>
      </c>
      <c r="B195" s="14" t="s">
        <v>1863</v>
      </c>
      <c r="C195" s="14" t="s">
        <v>68</v>
      </c>
      <c r="D195" s="14"/>
      <c r="E195" s="14" t="s">
        <v>6</v>
      </c>
      <c r="F195" s="14" t="s">
        <v>1864</v>
      </c>
      <c r="G195" s="15" t="s">
        <v>1790</v>
      </c>
      <c r="H195" s="14" t="s">
        <v>1791</v>
      </c>
      <c r="I195" s="14" t="s">
        <v>210</v>
      </c>
      <c r="J195" s="14" t="s">
        <v>210</v>
      </c>
      <c r="K195" s="14" t="s">
        <v>61</v>
      </c>
      <c r="L195" s="15" t="s">
        <v>91</v>
      </c>
      <c r="M195" s="14" t="s">
        <v>1865</v>
      </c>
      <c r="N195" s="16" t="s">
        <v>1866</v>
      </c>
      <c r="O195" s="15"/>
      <c r="P195" s="15" t="n">
        <v>1989</v>
      </c>
      <c r="Q195" s="15" t="n">
        <f aca="false">IFERROR(VLOOKUP(J195,Parametros!$A$5:$B$9,2,FALSE()),0)</f>
        <v>1</v>
      </c>
      <c r="R195" s="15" t="n">
        <f aca="false">IFERROR(VLOOKUP(H195,Parametros!$D$5:$E$23,2,FALSE()),1)</f>
        <v>2</v>
      </c>
      <c r="S195" s="15" t="n">
        <f aca="false">IF(OR(N(O195)&gt;=Parametros!$H$9,AND(N(P195)&gt;0,N(P195)&lt;=Parametros!$H$10)),1,0)</f>
        <v>1</v>
      </c>
      <c r="T195" s="15" t="n">
        <f aca="false">Q195+R195+S195</f>
        <v>4</v>
      </c>
      <c r="U195" s="15" t="str">
        <f aca="false">IF(OR(V195="Inactive",V195="No encontrada",V195="Duplicado"),"Descartada",IF(AND(T195&gt;=Parametros!$H$5,S195=1),"A",IF(T195&gt;=Parametros!$H$6,"B","C")))</f>
        <v>B</v>
      </c>
      <c r="V195" s="17" t="s">
        <v>94</v>
      </c>
      <c r="W195" s="17"/>
      <c r="X195" s="14"/>
      <c r="Y195" s="14"/>
      <c r="Z195" s="14"/>
      <c r="AA195" s="14"/>
      <c r="AB195" s="14"/>
      <c r="AC195" s="14"/>
      <c r="AD195" s="16" t="s">
        <v>1866</v>
      </c>
      <c r="AE195" s="14"/>
      <c r="AF195" s="14"/>
      <c r="AG195" s="14" t="s">
        <v>1851</v>
      </c>
      <c r="AH195" s="14" t="s">
        <v>1799</v>
      </c>
    </row>
    <row r="196" customFormat="false" ht="15" hidden="false" customHeight="false" outlineLevel="0" collapsed="false">
      <c r="A196" s="14" t="s">
        <v>1867</v>
      </c>
      <c r="B196" s="14" t="s">
        <v>1868</v>
      </c>
      <c r="C196" s="14" t="s">
        <v>494</v>
      </c>
      <c r="D196" s="14"/>
      <c r="E196" s="14" t="s">
        <v>6</v>
      </c>
      <c r="F196" s="14" t="s">
        <v>1869</v>
      </c>
      <c r="G196" s="15" t="s">
        <v>1790</v>
      </c>
      <c r="H196" s="14" t="s">
        <v>1791</v>
      </c>
      <c r="I196" s="14" t="s">
        <v>210</v>
      </c>
      <c r="J196" s="14" t="s">
        <v>199</v>
      </c>
      <c r="K196" s="14" t="s">
        <v>58</v>
      </c>
      <c r="L196" s="15" t="s">
        <v>91</v>
      </c>
      <c r="M196" s="14" t="s">
        <v>1870</v>
      </c>
      <c r="N196" s="16" t="s">
        <v>1871</v>
      </c>
      <c r="O196" s="15"/>
      <c r="P196" s="15" t="n">
        <v>1989</v>
      </c>
      <c r="Q196" s="15" t="n">
        <f aca="false">IFERROR(VLOOKUP(J196,Parametros!$A$5:$B$9,2,FALSE()),0)</f>
        <v>1</v>
      </c>
      <c r="R196" s="15" t="n">
        <f aca="false">IFERROR(VLOOKUP(H196,Parametros!$D$5:$E$23,2,FALSE()),1)</f>
        <v>2</v>
      </c>
      <c r="S196" s="15" t="n">
        <f aca="false">IF(OR(N(O196)&gt;=Parametros!$H$9,AND(N(P196)&gt;0,N(P196)&lt;=Parametros!$H$10)),1,0)</f>
        <v>1</v>
      </c>
      <c r="T196" s="15" t="n">
        <f aca="false">Q196+R196+S196</f>
        <v>4</v>
      </c>
      <c r="U196" s="15" t="str">
        <f aca="false">IF(OR(V196="Inactive",V196="No encontrada",V196="Duplicado"),"Descartada",IF(AND(T196&gt;=Parametros!$H$5,S196=1),"A",IF(T196&gt;=Parametros!$H$6,"B","C")))</f>
        <v>B</v>
      </c>
      <c r="V196" s="17" t="s">
        <v>94</v>
      </c>
      <c r="W196" s="17"/>
      <c r="X196" s="14"/>
      <c r="Y196" s="14"/>
      <c r="Z196" s="14" t="s">
        <v>1872</v>
      </c>
      <c r="AA196" s="16" t="s">
        <v>1873</v>
      </c>
      <c r="AB196" s="14"/>
      <c r="AC196" s="14"/>
      <c r="AD196" s="14"/>
      <c r="AE196" s="16" t="s">
        <v>1871</v>
      </c>
      <c r="AF196" s="14"/>
      <c r="AG196" s="14" t="s">
        <v>1851</v>
      </c>
      <c r="AH196" s="14" t="s">
        <v>1799</v>
      </c>
    </row>
    <row r="197" customFormat="false" ht="15" hidden="false" customHeight="false" outlineLevel="0" collapsed="false">
      <c r="A197" s="14" t="s">
        <v>1874</v>
      </c>
      <c r="B197" s="14" t="s">
        <v>1875</v>
      </c>
      <c r="C197" s="14" t="s">
        <v>1876</v>
      </c>
      <c r="D197" s="14"/>
      <c r="E197" s="14" t="s">
        <v>6</v>
      </c>
      <c r="F197" s="14" t="s">
        <v>1877</v>
      </c>
      <c r="G197" s="15" t="s">
        <v>224</v>
      </c>
      <c r="H197" s="14" t="s">
        <v>225</v>
      </c>
      <c r="I197" s="14" t="s">
        <v>72</v>
      </c>
      <c r="J197" s="14" t="s">
        <v>199</v>
      </c>
      <c r="K197" s="14" t="s">
        <v>61</v>
      </c>
      <c r="L197" s="15" t="s">
        <v>91</v>
      </c>
      <c r="M197" s="14" t="s">
        <v>1878</v>
      </c>
      <c r="N197" s="16" t="s">
        <v>1879</v>
      </c>
      <c r="O197" s="15"/>
      <c r="P197" s="15" t="n">
        <v>1994</v>
      </c>
      <c r="Q197" s="15" t="n">
        <f aca="false">IFERROR(VLOOKUP(J197,Parametros!$A$5:$B$9,2,FALSE()),0)</f>
        <v>1</v>
      </c>
      <c r="R197" s="15" t="n">
        <f aca="false">IFERROR(VLOOKUP(H197,Parametros!$D$5:$E$23,2,FALSE()),1)</f>
        <v>2</v>
      </c>
      <c r="S197" s="15" t="n">
        <f aca="false">IF(OR(N(O197)&gt;=Parametros!$H$9,AND(N(P197)&gt;0,N(P197)&lt;=Parametros!$H$10)),1,0)</f>
        <v>1</v>
      </c>
      <c r="T197" s="15" t="n">
        <f aca="false">Q197+R197+S197</f>
        <v>4</v>
      </c>
      <c r="U197" s="15" t="str">
        <f aca="false">IF(OR(V197="Inactive",V197="No encontrada",V197="Duplicado"),"Descartada",IF(AND(T197&gt;=Parametros!$H$5,S197=1),"A",IF(T197&gt;=Parametros!$H$6,"B","C")))</f>
        <v>B</v>
      </c>
      <c r="V197" s="17" t="s">
        <v>94</v>
      </c>
      <c r="W197" s="17"/>
      <c r="X197" s="14" t="s">
        <v>1880</v>
      </c>
      <c r="Y197" s="14" t="s">
        <v>1881</v>
      </c>
      <c r="Z197" s="14" t="s">
        <v>1882</v>
      </c>
      <c r="AA197" s="14"/>
      <c r="AB197" s="14"/>
      <c r="AC197" s="14"/>
      <c r="AD197" s="16" t="s">
        <v>1883</v>
      </c>
      <c r="AE197" s="16" t="s">
        <v>1884</v>
      </c>
      <c r="AF197" s="14"/>
      <c r="AG197" s="14"/>
      <c r="AH197" s="14" t="s">
        <v>232</v>
      </c>
    </row>
    <row r="198" customFormat="false" ht="23.85" hidden="false" customHeight="false" outlineLevel="0" collapsed="false">
      <c r="A198" s="14" t="s">
        <v>1885</v>
      </c>
      <c r="B198" s="14" t="s">
        <v>1886</v>
      </c>
      <c r="C198" s="14" t="s">
        <v>1887</v>
      </c>
      <c r="D198" s="14"/>
      <c r="E198" s="14" t="s">
        <v>6</v>
      </c>
      <c r="F198" s="14" t="s">
        <v>1888</v>
      </c>
      <c r="G198" s="15" t="s">
        <v>1736</v>
      </c>
      <c r="H198" s="14" t="s">
        <v>1737</v>
      </c>
      <c r="I198" s="14" t="s">
        <v>210</v>
      </c>
      <c r="J198" s="14" t="s">
        <v>199</v>
      </c>
      <c r="K198" s="14" t="s">
        <v>61</v>
      </c>
      <c r="L198" s="15" t="s">
        <v>91</v>
      </c>
      <c r="M198" s="14" t="s">
        <v>1889</v>
      </c>
      <c r="N198" s="16" t="s">
        <v>1890</v>
      </c>
      <c r="O198" s="15"/>
      <c r="P198" s="15" t="n">
        <v>1980</v>
      </c>
      <c r="Q198" s="15" t="n">
        <f aca="false">IFERROR(VLOOKUP(J198,Parametros!$A$5:$B$9,2,FALSE()),0)</f>
        <v>1</v>
      </c>
      <c r="R198" s="15" t="n">
        <f aca="false">IFERROR(VLOOKUP(H198,Parametros!$D$5:$E$23,2,FALSE()),1)</f>
        <v>2</v>
      </c>
      <c r="S198" s="15" t="n">
        <f aca="false">IF(OR(N(O198)&gt;=Parametros!$H$9,AND(N(P198)&gt;0,N(P198)&lt;=Parametros!$H$10)),1,0)</f>
        <v>1</v>
      </c>
      <c r="T198" s="15" t="n">
        <f aca="false">Q198+R198+S198</f>
        <v>4</v>
      </c>
      <c r="U198" s="15" t="str">
        <f aca="false">IF(OR(V198="Inactive",V198="No encontrada",V198="Duplicado"),"Descartada",IF(AND(T198&gt;=Parametros!$H$5,S198=1),"A",IF(T198&gt;=Parametros!$H$6,"B","C")))</f>
        <v>B</v>
      </c>
      <c r="V198" s="17" t="s">
        <v>94</v>
      </c>
      <c r="W198" s="17"/>
      <c r="X198" s="14" t="s">
        <v>1891</v>
      </c>
      <c r="Y198" s="14" t="s">
        <v>1892</v>
      </c>
      <c r="Z198" s="14" t="s">
        <v>1893</v>
      </c>
      <c r="AA198" s="14"/>
      <c r="AB198" s="14"/>
      <c r="AC198" s="14"/>
      <c r="AD198" s="16" t="s">
        <v>1890</v>
      </c>
      <c r="AE198" s="16" t="s">
        <v>1894</v>
      </c>
      <c r="AF198" s="14"/>
      <c r="AG198" s="14" t="s">
        <v>1895</v>
      </c>
      <c r="AH198" s="14" t="s">
        <v>1896</v>
      </c>
    </row>
    <row r="199" customFormat="false" ht="15" hidden="false" customHeight="false" outlineLevel="0" collapsed="false">
      <c r="A199" s="14" t="s">
        <v>1897</v>
      </c>
      <c r="B199" s="14" t="s">
        <v>1898</v>
      </c>
      <c r="C199" s="14" t="s">
        <v>1876</v>
      </c>
      <c r="D199" s="14"/>
      <c r="E199" s="14" t="s">
        <v>6</v>
      </c>
      <c r="F199" s="14" t="s">
        <v>1899</v>
      </c>
      <c r="G199" s="15" t="s">
        <v>224</v>
      </c>
      <c r="H199" s="14" t="s">
        <v>225</v>
      </c>
      <c r="I199" s="14" t="s">
        <v>210</v>
      </c>
      <c r="J199" s="14" t="s">
        <v>235</v>
      </c>
      <c r="K199" s="14" t="s">
        <v>58</v>
      </c>
      <c r="L199" s="15" t="s">
        <v>91</v>
      </c>
      <c r="M199" s="14" t="s">
        <v>1900</v>
      </c>
      <c r="N199" s="16" t="s">
        <v>1901</v>
      </c>
      <c r="O199" s="15"/>
      <c r="P199" s="15"/>
      <c r="Q199" s="15" t="n">
        <f aca="false">IFERROR(VLOOKUP(J199,Parametros!$A$5:$B$9,2,FALSE()),0)</f>
        <v>2</v>
      </c>
      <c r="R199" s="15" t="n">
        <f aca="false">IFERROR(VLOOKUP(H199,Parametros!$D$5:$E$23,2,FALSE()),1)</f>
        <v>2</v>
      </c>
      <c r="S199" s="15" t="n">
        <f aca="false">IF(OR(N(O199)&gt;=Parametros!$H$9,AND(N(P199)&gt;0,N(P199)&lt;=Parametros!$H$10)),1,0)</f>
        <v>0</v>
      </c>
      <c r="T199" s="15" t="n">
        <f aca="false">Q199+R199+S199</f>
        <v>4</v>
      </c>
      <c r="U199" s="15" t="str">
        <f aca="false">IF(OR(V199="Inactive",V199="No encontrada",V199="Duplicado"),"Descartada",IF(AND(T199&gt;=Parametros!$H$5,S199=1),"A",IF(T199&gt;=Parametros!$H$6,"B","C")))</f>
        <v>B</v>
      </c>
      <c r="V199" s="17" t="s">
        <v>94</v>
      </c>
      <c r="W199" s="17"/>
      <c r="X199" s="14" t="s">
        <v>1902</v>
      </c>
      <c r="Y199" s="14" t="s">
        <v>1903</v>
      </c>
      <c r="Z199" s="14" t="s">
        <v>1904</v>
      </c>
      <c r="AA199" s="16" t="s">
        <v>1905</v>
      </c>
      <c r="AB199" s="14"/>
      <c r="AC199" s="14"/>
      <c r="AD199" s="14"/>
      <c r="AE199" s="16" t="s">
        <v>1906</v>
      </c>
      <c r="AF199" s="14"/>
      <c r="AG199" s="14" t="s">
        <v>1559</v>
      </c>
      <c r="AH199" s="14" t="s">
        <v>1907</v>
      </c>
    </row>
    <row r="200" customFormat="false" ht="23.85" hidden="false" customHeight="false" outlineLevel="0" collapsed="false">
      <c r="A200" s="14" t="s">
        <v>1908</v>
      </c>
      <c r="B200" s="14" t="s">
        <v>1909</v>
      </c>
      <c r="C200" s="14" t="s">
        <v>1052</v>
      </c>
      <c r="D200" s="14"/>
      <c r="E200" s="14" t="s">
        <v>6</v>
      </c>
      <c r="F200" s="14" t="s">
        <v>1910</v>
      </c>
      <c r="G200" s="15" t="s">
        <v>1736</v>
      </c>
      <c r="H200" s="14" t="s">
        <v>1737</v>
      </c>
      <c r="I200" s="14" t="s">
        <v>72</v>
      </c>
      <c r="J200" s="14" t="s">
        <v>235</v>
      </c>
      <c r="K200" s="14" t="s">
        <v>90</v>
      </c>
      <c r="L200" s="15" t="s">
        <v>91</v>
      </c>
      <c r="M200" s="14" t="s">
        <v>1911</v>
      </c>
      <c r="N200" s="16" t="s">
        <v>1912</v>
      </c>
      <c r="O200" s="15"/>
      <c r="P200" s="15" t="n">
        <v>1995</v>
      </c>
      <c r="Q200" s="15" t="n">
        <f aca="false">IFERROR(VLOOKUP(J200,Parametros!$A$5:$B$9,2,FALSE()),0)</f>
        <v>2</v>
      </c>
      <c r="R200" s="15" t="n">
        <f aca="false">IFERROR(VLOOKUP(H200,Parametros!$D$5:$E$23,2,FALSE()),1)</f>
        <v>2</v>
      </c>
      <c r="S200" s="15" t="n">
        <f aca="false">IF(OR(N(O200)&gt;=Parametros!$H$9,AND(N(P200)&gt;0,N(P200)&lt;=Parametros!$H$10)),1,0)</f>
        <v>1</v>
      </c>
      <c r="T200" s="15" t="n">
        <f aca="false">Q200+R200+S200</f>
        <v>5</v>
      </c>
      <c r="U200" s="15" t="str">
        <f aca="false">IF(OR(V200="Inactive",V200="No encontrada",V200="Duplicado"),"Descartada",IF(AND(T200&gt;=Parametros!$H$5,S200=1),"A",IF(T200&gt;=Parametros!$H$6,"B","C")))</f>
        <v>B</v>
      </c>
      <c r="V200" s="17" t="s">
        <v>94</v>
      </c>
      <c r="W200" s="17"/>
      <c r="X200" s="14" t="s">
        <v>1913</v>
      </c>
      <c r="Y200" s="14" t="s">
        <v>1914</v>
      </c>
      <c r="Z200" s="14"/>
      <c r="AA200" s="16" t="s">
        <v>1915</v>
      </c>
      <c r="AB200" s="14"/>
      <c r="AC200" s="14"/>
      <c r="AD200" s="16" t="s">
        <v>1916</v>
      </c>
      <c r="AE200" s="16" t="s">
        <v>1916</v>
      </c>
      <c r="AF200" s="14"/>
      <c r="AG200" s="14" t="s">
        <v>1917</v>
      </c>
      <c r="AH200" s="14" t="s">
        <v>1918</v>
      </c>
    </row>
    <row r="201" customFormat="false" ht="23.85" hidden="false" customHeight="false" outlineLevel="0" collapsed="false">
      <c r="A201" s="14" t="s">
        <v>1919</v>
      </c>
      <c r="B201" s="14" t="s">
        <v>1920</v>
      </c>
      <c r="C201" s="14" t="s">
        <v>1052</v>
      </c>
      <c r="D201" s="14"/>
      <c r="E201" s="14" t="s">
        <v>6</v>
      </c>
      <c r="F201" s="14" t="s">
        <v>1921</v>
      </c>
      <c r="G201" s="15" t="s">
        <v>1736</v>
      </c>
      <c r="H201" s="14" t="s">
        <v>1737</v>
      </c>
      <c r="I201" s="14" t="s">
        <v>72</v>
      </c>
      <c r="J201" s="14" t="s">
        <v>199</v>
      </c>
      <c r="K201" s="14" t="s">
        <v>73</v>
      </c>
      <c r="L201" s="15" t="s">
        <v>74</v>
      </c>
      <c r="M201" s="14" t="s">
        <v>1922</v>
      </c>
      <c r="N201" s="16" t="s">
        <v>1923</v>
      </c>
      <c r="O201" s="15" t="n">
        <v>35</v>
      </c>
      <c r="P201" s="15" t="n">
        <v>1989</v>
      </c>
      <c r="Q201" s="15" t="n">
        <f aca="false">IFERROR(VLOOKUP(J201,Parametros!$A$5:$B$9,2,FALSE()),0)</f>
        <v>1</v>
      </c>
      <c r="R201" s="15" t="n">
        <f aca="false">IFERROR(VLOOKUP(H201,Parametros!$D$5:$E$23,2,FALSE()),1)</f>
        <v>2</v>
      </c>
      <c r="S201" s="15" t="n">
        <f aca="false">IF(OR(N(O201)&gt;=Parametros!$H$9,AND(N(P201)&gt;0,N(P201)&lt;=Parametros!$H$10)),1,0)</f>
        <v>1</v>
      </c>
      <c r="T201" s="15" t="n">
        <f aca="false">Q201+R201+S201</f>
        <v>4</v>
      </c>
      <c r="U201" s="15" t="str">
        <f aca="false">IF(OR(V201="Inactive",V201="No encontrada",V201="Duplicado"),"Descartada",IF(AND(T201&gt;=Parametros!$H$5,S201=1),"A",IF(T201&gt;=Parametros!$H$6,"B","C")))</f>
        <v>B</v>
      </c>
      <c r="V201" s="17" t="s">
        <v>94</v>
      </c>
      <c r="W201" s="17"/>
      <c r="X201" s="14" t="s">
        <v>1924</v>
      </c>
      <c r="Y201" s="14" t="s">
        <v>1925</v>
      </c>
      <c r="Z201" s="14" t="s">
        <v>1926</v>
      </c>
      <c r="AA201" s="14"/>
      <c r="AB201" s="14"/>
      <c r="AC201" s="14"/>
      <c r="AD201" s="14"/>
      <c r="AE201" s="16" t="s">
        <v>1927</v>
      </c>
      <c r="AF201" s="14"/>
      <c r="AG201" s="14"/>
      <c r="AH201" s="14" t="s">
        <v>1918</v>
      </c>
    </row>
    <row r="202" customFormat="false" ht="15" hidden="false" customHeight="false" outlineLevel="0" collapsed="false">
      <c r="A202" s="14" t="s">
        <v>1928</v>
      </c>
      <c r="B202" s="14" t="s">
        <v>1929</v>
      </c>
      <c r="C202" s="14" t="s">
        <v>1930</v>
      </c>
      <c r="D202" s="14"/>
      <c r="E202" s="14" t="s">
        <v>9</v>
      </c>
      <c r="F202" s="14" t="s">
        <v>1931</v>
      </c>
      <c r="G202" s="15" t="s">
        <v>1004</v>
      </c>
      <c r="H202" s="14" t="s">
        <v>1005</v>
      </c>
      <c r="I202" s="14" t="s">
        <v>210</v>
      </c>
      <c r="J202" s="14" t="s">
        <v>199</v>
      </c>
      <c r="K202" s="14" t="s">
        <v>90</v>
      </c>
      <c r="L202" s="15" t="s">
        <v>91</v>
      </c>
      <c r="M202" s="14" t="s">
        <v>1932</v>
      </c>
      <c r="N202" s="16" t="s">
        <v>1933</v>
      </c>
      <c r="O202" s="15"/>
      <c r="P202" s="15" t="n">
        <v>2006</v>
      </c>
      <c r="Q202" s="15" t="n">
        <f aca="false">IFERROR(VLOOKUP(J202,Parametros!$A$5:$B$9,2,FALSE()),0)</f>
        <v>1</v>
      </c>
      <c r="R202" s="15" t="n">
        <f aca="false">IFERROR(VLOOKUP(H202,Parametros!$D$5:$E$23,2,FALSE()),1)</f>
        <v>3</v>
      </c>
      <c r="S202" s="15" t="n">
        <f aca="false">IF(OR(N(O202)&gt;=Parametros!$H$9,AND(N(P202)&gt;0,N(P202)&lt;=Parametros!$H$10)),1,0)</f>
        <v>0</v>
      </c>
      <c r="T202" s="15" t="n">
        <f aca="false">Q202+R202+S202</f>
        <v>4</v>
      </c>
      <c r="U202" s="15" t="str">
        <f aca="false">IF(OR(V202="Inactive",V202="No encontrada",V202="Duplicado"),"Descartada",IF(AND(T202&gt;=Parametros!$H$5,S202=1),"A",IF(T202&gt;=Parametros!$H$6,"B","C")))</f>
        <v>B</v>
      </c>
      <c r="V202" s="17" t="s">
        <v>94</v>
      </c>
      <c r="W202" s="17"/>
      <c r="X202" s="14" t="s">
        <v>1934</v>
      </c>
      <c r="Y202" s="14" t="s">
        <v>1935</v>
      </c>
      <c r="Z202" s="14" t="s">
        <v>1936</v>
      </c>
      <c r="AA202" s="16" t="s">
        <v>1937</v>
      </c>
      <c r="AB202" s="14"/>
      <c r="AC202" s="14"/>
      <c r="AD202" s="16" t="s">
        <v>1938</v>
      </c>
      <c r="AE202" s="16" t="s">
        <v>1939</v>
      </c>
      <c r="AF202" s="14"/>
      <c r="AG202" s="14"/>
      <c r="AH202" s="14" t="s">
        <v>1012</v>
      </c>
    </row>
    <row r="203" customFormat="false" ht="15" hidden="false" customHeight="false" outlineLevel="0" collapsed="false">
      <c r="A203" s="14" t="s">
        <v>1940</v>
      </c>
      <c r="B203" s="14" t="s">
        <v>1941</v>
      </c>
      <c r="C203" s="14" t="s">
        <v>1942</v>
      </c>
      <c r="D203" s="14"/>
      <c r="E203" s="14" t="s">
        <v>9</v>
      </c>
      <c r="F203" s="14" t="s">
        <v>1943</v>
      </c>
      <c r="G203" s="15" t="s">
        <v>224</v>
      </c>
      <c r="H203" s="14" t="s">
        <v>225</v>
      </c>
      <c r="I203" s="14" t="s">
        <v>210</v>
      </c>
      <c r="J203" s="14" t="s">
        <v>210</v>
      </c>
      <c r="K203" s="14" t="s">
        <v>73</v>
      </c>
      <c r="L203" s="15" t="s">
        <v>74</v>
      </c>
      <c r="M203" s="14" t="s">
        <v>1944</v>
      </c>
      <c r="N203" s="16" t="s">
        <v>1945</v>
      </c>
      <c r="O203" s="15"/>
      <c r="P203" s="15" t="n">
        <v>1978</v>
      </c>
      <c r="Q203" s="15" t="n">
        <f aca="false">IFERROR(VLOOKUP(J203,Parametros!$A$5:$B$9,2,FALSE()),0)</f>
        <v>1</v>
      </c>
      <c r="R203" s="15" t="n">
        <f aca="false">IFERROR(VLOOKUP(H203,Parametros!$D$5:$E$23,2,FALSE()),1)</f>
        <v>2</v>
      </c>
      <c r="S203" s="15" t="n">
        <f aca="false">IF(OR(N(O203)&gt;=Parametros!$H$9,AND(N(P203)&gt;0,N(P203)&lt;=Parametros!$H$10)),1,0)</f>
        <v>1</v>
      </c>
      <c r="T203" s="15" t="n">
        <f aca="false">Q203+R203+S203</f>
        <v>4</v>
      </c>
      <c r="U203" s="15" t="str">
        <f aca="false">IF(OR(V203="Inactive",V203="No encontrada",V203="Duplicado"),"Descartada",IF(AND(T203&gt;=Parametros!$H$5,S203=1),"A",IF(T203&gt;=Parametros!$H$6,"B","C")))</f>
        <v>B</v>
      </c>
      <c r="V203" s="17" t="s">
        <v>94</v>
      </c>
      <c r="W203" s="17"/>
      <c r="X203" s="14" t="s">
        <v>1946</v>
      </c>
      <c r="Y203" s="14"/>
      <c r="Z203" s="14"/>
      <c r="AA203" s="14"/>
      <c r="AB203" s="14"/>
      <c r="AC203" s="14"/>
      <c r="AD203" s="14"/>
      <c r="AE203" s="16" t="s">
        <v>1945</v>
      </c>
      <c r="AF203" s="14"/>
      <c r="AG203" s="14" t="s">
        <v>1947</v>
      </c>
      <c r="AH203" s="14" t="s">
        <v>1683</v>
      </c>
    </row>
    <row r="204" customFormat="false" ht="15" hidden="false" customHeight="false" outlineLevel="0" collapsed="false">
      <c r="A204" s="14" t="s">
        <v>1948</v>
      </c>
      <c r="B204" s="14" t="s">
        <v>1949</v>
      </c>
      <c r="C204" s="14" t="s">
        <v>1052</v>
      </c>
      <c r="D204" s="14"/>
      <c r="E204" s="14" t="s">
        <v>6</v>
      </c>
      <c r="F204" s="14" t="s">
        <v>1950</v>
      </c>
      <c r="G204" s="15" t="s">
        <v>224</v>
      </c>
      <c r="H204" s="14" t="s">
        <v>225</v>
      </c>
      <c r="I204" s="14" t="s">
        <v>210</v>
      </c>
      <c r="J204" s="14" t="s">
        <v>148</v>
      </c>
      <c r="K204" s="14" t="s">
        <v>90</v>
      </c>
      <c r="L204" s="15" t="s">
        <v>91</v>
      </c>
      <c r="M204" s="14" t="s">
        <v>1951</v>
      </c>
      <c r="N204" s="16" t="s">
        <v>1952</v>
      </c>
      <c r="O204" s="15"/>
      <c r="P204" s="15" t="n">
        <v>1993</v>
      </c>
      <c r="Q204" s="15" t="n">
        <f aca="false">IFERROR(VLOOKUP(J204,Parametros!$A$5:$B$9,2,FALSE()),0)</f>
        <v>3</v>
      </c>
      <c r="R204" s="15" t="n">
        <f aca="false">IFERROR(VLOOKUP(H204,Parametros!$D$5:$E$23,2,FALSE()),1)</f>
        <v>2</v>
      </c>
      <c r="S204" s="15" t="n">
        <f aca="false">IF(OR(N(O204)&gt;=Parametros!$H$9,AND(N(P204)&gt;0,N(P204)&lt;=Parametros!$H$10)),1,0)</f>
        <v>1</v>
      </c>
      <c r="T204" s="15" t="n">
        <f aca="false">Q204+R204+S204</f>
        <v>6</v>
      </c>
      <c r="U204" s="15" t="str">
        <f aca="false">IF(OR(V204="Inactive",V204="No encontrada",V204="Duplicado"),"Descartada",IF(AND(T204&gt;=Parametros!$H$5,S204=1),"A",IF(T204&gt;=Parametros!$H$6,"B","C")))</f>
        <v>A</v>
      </c>
      <c r="V204" s="17" t="s">
        <v>94</v>
      </c>
      <c r="W204" s="17"/>
      <c r="X204" s="14" t="s">
        <v>1953</v>
      </c>
      <c r="Y204" s="14" t="s">
        <v>1954</v>
      </c>
      <c r="Z204" s="14" t="s">
        <v>1955</v>
      </c>
      <c r="AA204" s="16" t="s">
        <v>1956</v>
      </c>
      <c r="AB204" s="14"/>
      <c r="AC204" s="14"/>
      <c r="AD204" s="16" t="s">
        <v>1952</v>
      </c>
      <c r="AE204" s="16" t="s">
        <v>1957</v>
      </c>
      <c r="AF204" s="14"/>
      <c r="AG204" s="14"/>
      <c r="AH204" s="14" t="s">
        <v>1958</v>
      </c>
    </row>
    <row r="205" customFormat="false" ht="15" hidden="false" customHeight="false" outlineLevel="0" collapsed="false">
      <c r="A205" s="14" t="s">
        <v>1959</v>
      </c>
      <c r="B205" s="14" t="s">
        <v>1960</v>
      </c>
      <c r="C205" s="14" t="s">
        <v>670</v>
      </c>
      <c r="D205" s="14"/>
      <c r="E205" s="14" t="s">
        <v>9</v>
      </c>
      <c r="F205" s="14" t="s">
        <v>1961</v>
      </c>
      <c r="G205" s="15" t="s">
        <v>1628</v>
      </c>
      <c r="H205" s="14" t="s">
        <v>1629</v>
      </c>
      <c r="I205" s="14" t="s">
        <v>210</v>
      </c>
      <c r="J205" s="14" t="s">
        <v>8</v>
      </c>
      <c r="K205" s="14" t="s">
        <v>90</v>
      </c>
      <c r="L205" s="15" t="s">
        <v>91</v>
      </c>
      <c r="M205" s="14" t="s">
        <v>1962</v>
      </c>
      <c r="N205" s="16" t="s">
        <v>1963</v>
      </c>
      <c r="O205" s="15"/>
      <c r="P205" s="15"/>
      <c r="Q205" s="15" t="n">
        <f aca="false">IFERROR(VLOOKUP(J205,Parametros!$A$5:$B$9,2,FALSE()),0)</f>
        <v>3</v>
      </c>
      <c r="R205" s="15" t="n">
        <f aca="false">IFERROR(VLOOKUP(H205,Parametros!$D$5:$E$23,2,FALSE()),1)</f>
        <v>2</v>
      </c>
      <c r="S205" s="15" t="n">
        <f aca="false">IF(OR(N(O205)&gt;=Parametros!$H$9,AND(N(P205)&gt;0,N(P205)&lt;=Parametros!$H$10)),1,0)</f>
        <v>0</v>
      </c>
      <c r="T205" s="15" t="n">
        <f aca="false">Q205+R205+S205</f>
        <v>5</v>
      </c>
      <c r="U205" s="15" t="str">
        <f aca="false">IF(OR(V205="Inactive",V205="No encontrada",V205="Duplicado"),"Descartada",IF(AND(T205&gt;=Parametros!$H$5,S205=1),"A",IF(T205&gt;=Parametros!$H$6,"B","C")))</f>
        <v>B</v>
      </c>
      <c r="V205" s="17" t="s">
        <v>94</v>
      </c>
      <c r="W205" s="17"/>
      <c r="X205" s="14" t="s">
        <v>1964</v>
      </c>
      <c r="Y205" s="14" t="s">
        <v>1965</v>
      </c>
      <c r="Z205" s="14"/>
      <c r="AA205" s="16" t="s">
        <v>1966</v>
      </c>
      <c r="AB205" s="14"/>
      <c r="AC205" s="14"/>
      <c r="AD205" s="16" t="s">
        <v>1963</v>
      </c>
      <c r="AE205" s="16" t="s">
        <v>1967</v>
      </c>
      <c r="AF205" s="14"/>
      <c r="AG205" s="14" t="s">
        <v>100</v>
      </c>
      <c r="AH205" s="14" t="s">
        <v>1958</v>
      </c>
    </row>
    <row r="206" customFormat="false" ht="15" hidden="false" customHeight="false" outlineLevel="0" collapsed="false">
      <c r="A206" s="14" t="s">
        <v>1968</v>
      </c>
      <c r="B206" s="14" t="s">
        <v>1969</v>
      </c>
      <c r="C206" s="14" t="s">
        <v>494</v>
      </c>
      <c r="D206" s="14" t="s">
        <v>1970</v>
      </c>
      <c r="E206" s="14" t="s">
        <v>6</v>
      </c>
      <c r="F206" s="14" t="s">
        <v>1971</v>
      </c>
      <c r="G206" s="15" t="s">
        <v>1675</v>
      </c>
      <c r="H206" s="14" t="s">
        <v>1629</v>
      </c>
      <c r="I206" s="14" t="s">
        <v>72</v>
      </c>
      <c r="J206" s="14" t="s">
        <v>148</v>
      </c>
      <c r="K206" s="14" t="s">
        <v>61</v>
      </c>
      <c r="L206" s="15" t="s">
        <v>91</v>
      </c>
      <c r="M206" s="14" t="s">
        <v>1972</v>
      </c>
      <c r="N206" s="16" t="s">
        <v>1973</v>
      </c>
      <c r="O206" s="15"/>
      <c r="P206" s="15" t="n">
        <v>2009</v>
      </c>
      <c r="Q206" s="15" t="n">
        <f aca="false">IFERROR(VLOOKUP(J206,Parametros!$A$5:$B$9,2,FALSE()),0)</f>
        <v>3</v>
      </c>
      <c r="R206" s="15" t="n">
        <f aca="false">IFERROR(VLOOKUP(H206,Parametros!$D$5:$E$23,2,FALSE()),1)</f>
        <v>2</v>
      </c>
      <c r="S206" s="15" t="n">
        <f aca="false">IF(OR(N(O206)&gt;=Parametros!$H$9,AND(N(P206)&gt;0,N(P206)&lt;=Parametros!$H$10)),1,0)</f>
        <v>0</v>
      </c>
      <c r="T206" s="15" t="n">
        <f aca="false">Q206+R206+S206</f>
        <v>5</v>
      </c>
      <c r="U206" s="15" t="str">
        <f aca="false">IF(OR(V206="Inactive",V206="No encontrada",V206="Duplicado"),"Descartada",IF(AND(T206&gt;=Parametros!$H$5,S206=1),"A",IF(T206&gt;=Parametros!$H$6,"B","C")))</f>
        <v>B</v>
      </c>
      <c r="V206" s="17" t="s">
        <v>94</v>
      </c>
      <c r="W206" s="17"/>
      <c r="X206" s="14" t="s">
        <v>1974</v>
      </c>
      <c r="Y206" s="14" t="s">
        <v>1975</v>
      </c>
      <c r="Z206" s="14" t="s">
        <v>1976</v>
      </c>
      <c r="AA206" s="14"/>
      <c r="AB206" s="14"/>
      <c r="AC206" s="14"/>
      <c r="AD206" s="16" t="s">
        <v>1973</v>
      </c>
      <c r="AE206" s="16" t="s">
        <v>1977</v>
      </c>
      <c r="AF206" s="14"/>
      <c r="AG206" s="14"/>
      <c r="AH206" s="14" t="s">
        <v>1958</v>
      </c>
    </row>
    <row r="207" customFormat="false" ht="15" hidden="false" customHeight="false" outlineLevel="0" collapsed="false">
      <c r="A207" s="14" t="s">
        <v>1978</v>
      </c>
      <c r="B207" s="14" t="s">
        <v>1979</v>
      </c>
      <c r="C207" s="14" t="s">
        <v>494</v>
      </c>
      <c r="D207" s="14" t="s">
        <v>1970</v>
      </c>
      <c r="E207" s="14" t="s">
        <v>6</v>
      </c>
      <c r="F207" s="14" t="s">
        <v>1980</v>
      </c>
      <c r="G207" s="15" t="s">
        <v>224</v>
      </c>
      <c r="H207" s="14" t="s">
        <v>225</v>
      </c>
      <c r="I207" s="14" t="s">
        <v>210</v>
      </c>
      <c r="J207" s="14" t="s">
        <v>199</v>
      </c>
      <c r="K207" s="14" t="s">
        <v>61</v>
      </c>
      <c r="L207" s="15" t="s">
        <v>91</v>
      </c>
      <c r="M207" s="14" t="s">
        <v>1981</v>
      </c>
      <c r="N207" s="16" t="s">
        <v>1982</v>
      </c>
      <c r="O207" s="15"/>
      <c r="P207" s="15" t="n">
        <v>1995</v>
      </c>
      <c r="Q207" s="15" t="n">
        <f aca="false">IFERROR(VLOOKUP(J207,Parametros!$A$5:$B$9,2,FALSE()),0)</f>
        <v>1</v>
      </c>
      <c r="R207" s="15" t="n">
        <f aca="false">IFERROR(VLOOKUP(H207,Parametros!$D$5:$E$23,2,FALSE()),1)</f>
        <v>2</v>
      </c>
      <c r="S207" s="15" t="n">
        <f aca="false">IF(OR(N(O207)&gt;=Parametros!$H$9,AND(N(P207)&gt;0,N(P207)&lt;=Parametros!$H$10)),1,0)</f>
        <v>1</v>
      </c>
      <c r="T207" s="15" t="n">
        <f aca="false">Q207+R207+S207</f>
        <v>4</v>
      </c>
      <c r="U207" s="15" t="str">
        <f aca="false">IF(OR(V207="Inactive",V207="No encontrada",V207="Duplicado"),"Descartada",IF(AND(T207&gt;=Parametros!$H$5,S207=1),"A",IF(T207&gt;=Parametros!$H$6,"B","C")))</f>
        <v>B</v>
      </c>
      <c r="V207" s="17" t="s">
        <v>94</v>
      </c>
      <c r="W207" s="17"/>
      <c r="X207" s="14" t="s">
        <v>1983</v>
      </c>
      <c r="Y207" s="14" t="s">
        <v>1984</v>
      </c>
      <c r="Z207" s="14" t="s">
        <v>1985</v>
      </c>
      <c r="AA207" s="14"/>
      <c r="AB207" s="14"/>
      <c r="AC207" s="14"/>
      <c r="AD207" s="16" t="s">
        <v>1982</v>
      </c>
      <c r="AE207" s="16" t="s">
        <v>1986</v>
      </c>
      <c r="AF207" s="14"/>
      <c r="AG207" s="14"/>
      <c r="AH207" s="14" t="s">
        <v>1958</v>
      </c>
    </row>
    <row r="208" customFormat="false" ht="15" hidden="false" customHeight="false" outlineLevel="0" collapsed="false">
      <c r="A208" s="14" t="s">
        <v>1987</v>
      </c>
      <c r="B208" s="14" t="s">
        <v>1988</v>
      </c>
      <c r="C208" s="14" t="s">
        <v>494</v>
      </c>
      <c r="D208" s="14" t="s">
        <v>1970</v>
      </c>
      <c r="E208" s="14" t="s">
        <v>6</v>
      </c>
      <c r="F208" s="14" t="s">
        <v>1989</v>
      </c>
      <c r="G208" s="15" t="s">
        <v>224</v>
      </c>
      <c r="H208" s="14" t="s">
        <v>225</v>
      </c>
      <c r="I208" s="14" t="s">
        <v>115</v>
      </c>
      <c r="J208" s="14" t="s">
        <v>8</v>
      </c>
      <c r="K208" s="14" t="s">
        <v>61</v>
      </c>
      <c r="L208" s="15" t="s">
        <v>91</v>
      </c>
      <c r="M208" s="14" t="s">
        <v>1990</v>
      </c>
      <c r="N208" s="16" t="s">
        <v>1991</v>
      </c>
      <c r="O208" s="15"/>
      <c r="P208" s="15"/>
      <c r="Q208" s="15" t="n">
        <f aca="false">IFERROR(VLOOKUP(J208,Parametros!$A$5:$B$9,2,FALSE()),0)</f>
        <v>3</v>
      </c>
      <c r="R208" s="15" t="n">
        <f aca="false">IFERROR(VLOOKUP(H208,Parametros!$D$5:$E$23,2,FALSE()),1)</f>
        <v>2</v>
      </c>
      <c r="S208" s="15" t="n">
        <f aca="false">IF(OR(N(O208)&gt;=Parametros!$H$9,AND(N(P208)&gt;0,N(P208)&lt;=Parametros!$H$10)),1,0)</f>
        <v>0</v>
      </c>
      <c r="T208" s="15" t="n">
        <f aca="false">Q208+R208+S208</f>
        <v>5</v>
      </c>
      <c r="U208" s="15" t="str">
        <f aca="false">IF(OR(V208="Inactive",V208="No encontrada",V208="Duplicado"),"Descartada",IF(AND(T208&gt;=Parametros!$H$5,S208=1),"A",IF(T208&gt;=Parametros!$H$6,"B","C")))</f>
        <v>B</v>
      </c>
      <c r="V208" s="17" t="s">
        <v>94</v>
      </c>
      <c r="W208" s="17"/>
      <c r="X208" s="14" t="s">
        <v>1992</v>
      </c>
      <c r="Y208" s="14" t="s">
        <v>1993</v>
      </c>
      <c r="Z208" s="14"/>
      <c r="AA208" s="14"/>
      <c r="AB208" s="14"/>
      <c r="AC208" s="14"/>
      <c r="AD208" s="16" t="s">
        <v>1991</v>
      </c>
      <c r="AE208" s="16" t="s">
        <v>1991</v>
      </c>
      <c r="AF208" s="14"/>
      <c r="AG208" s="14" t="s">
        <v>100</v>
      </c>
      <c r="AH208" s="14" t="s">
        <v>1958</v>
      </c>
    </row>
    <row r="209" customFormat="false" ht="15" hidden="false" customHeight="false" outlineLevel="0" collapsed="false">
      <c r="A209" s="14" t="s">
        <v>1994</v>
      </c>
      <c r="B209" s="14" t="s">
        <v>1995</v>
      </c>
      <c r="C209" s="14" t="s">
        <v>494</v>
      </c>
      <c r="D209" s="14" t="s">
        <v>1970</v>
      </c>
      <c r="E209" s="14" t="s">
        <v>6</v>
      </c>
      <c r="F209" s="14" t="s">
        <v>1996</v>
      </c>
      <c r="G209" s="15" t="s">
        <v>1675</v>
      </c>
      <c r="H209" s="14" t="s">
        <v>1629</v>
      </c>
      <c r="I209" s="14" t="s">
        <v>72</v>
      </c>
      <c r="J209" s="14" t="s">
        <v>199</v>
      </c>
      <c r="K209" s="14" t="s">
        <v>1226</v>
      </c>
      <c r="L209" s="15" t="s">
        <v>91</v>
      </c>
      <c r="M209" s="14" t="s">
        <v>1997</v>
      </c>
      <c r="N209" s="16" t="s">
        <v>1998</v>
      </c>
      <c r="O209" s="15"/>
      <c r="P209" s="15" t="n">
        <v>1970</v>
      </c>
      <c r="Q209" s="15" t="n">
        <f aca="false">IFERROR(VLOOKUP(J209,Parametros!$A$5:$B$9,2,FALSE()),0)</f>
        <v>1</v>
      </c>
      <c r="R209" s="15" t="n">
        <f aca="false">IFERROR(VLOOKUP(H209,Parametros!$D$5:$E$23,2,FALSE()),1)</f>
        <v>2</v>
      </c>
      <c r="S209" s="15" t="n">
        <f aca="false">IF(OR(N(O209)&gt;=Parametros!$H$9,AND(N(P209)&gt;0,N(P209)&lt;=Parametros!$H$10)),1,0)</f>
        <v>1</v>
      </c>
      <c r="T209" s="15" t="n">
        <f aca="false">Q209+R209+S209</f>
        <v>4</v>
      </c>
      <c r="U209" s="15" t="str">
        <f aca="false">IF(OR(V209="Inactive",V209="No encontrada",V209="Duplicado"),"Descartada",IF(AND(T209&gt;=Parametros!$H$5,S209=1),"A",IF(T209&gt;=Parametros!$H$6,"B","C")))</f>
        <v>B</v>
      </c>
      <c r="V209" s="17" t="s">
        <v>94</v>
      </c>
      <c r="W209" s="17"/>
      <c r="X209" s="14" t="s">
        <v>1999</v>
      </c>
      <c r="Y209" s="14" t="s">
        <v>2000</v>
      </c>
      <c r="Z209" s="14" t="s">
        <v>2001</v>
      </c>
      <c r="AA209" s="14"/>
      <c r="AB209" s="16" t="s">
        <v>2002</v>
      </c>
      <c r="AC209" s="14"/>
      <c r="AD209" s="16" t="s">
        <v>2003</v>
      </c>
      <c r="AE209" s="16" t="s">
        <v>2004</v>
      </c>
      <c r="AF209" s="14"/>
      <c r="AG209" s="14"/>
      <c r="AH209" s="14" t="s">
        <v>1958</v>
      </c>
    </row>
    <row r="210" customFormat="false" ht="15" hidden="false" customHeight="false" outlineLevel="0" collapsed="false">
      <c r="A210" s="14" t="s">
        <v>2005</v>
      </c>
      <c r="B210" s="14" t="s">
        <v>2006</v>
      </c>
      <c r="C210" s="14" t="s">
        <v>658</v>
      </c>
      <c r="D210" s="14"/>
      <c r="E210" s="14" t="s">
        <v>6</v>
      </c>
      <c r="F210" s="14" t="s">
        <v>2007</v>
      </c>
      <c r="G210" s="15" t="s">
        <v>1675</v>
      </c>
      <c r="H210" s="14" t="s">
        <v>1629</v>
      </c>
      <c r="I210" s="14" t="s">
        <v>210</v>
      </c>
      <c r="J210" s="14" t="s">
        <v>148</v>
      </c>
      <c r="K210" s="14" t="s">
        <v>90</v>
      </c>
      <c r="L210" s="15" t="s">
        <v>91</v>
      </c>
      <c r="M210" s="14" t="s">
        <v>2008</v>
      </c>
      <c r="N210" s="16" t="s">
        <v>2009</v>
      </c>
      <c r="O210" s="15"/>
      <c r="P210" s="15" t="n">
        <v>1969</v>
      </c>
      <c r="Q210" s="15" t="n">
        <f aca="false">IFERROR(VLOOKUP(J210,Parametros!$A$5:$B$9,2,FALSE()),0)</f>
        <v>3</v>
      </c>
      <c r="R210" s="15" t="n">
        <f aca="false">IFERROR(VLOOKUP(H210,Parametros!$D$5:$E$23,2,FALSE()),1)</f>
        <v>2</v>
      </c>
      <c r="S210" s="15" t="n">
        <f aca="false">IF(OR(N(O210)&gt;=Parametros!$H$9,AND(N(P210)&gt;0,N(P210)&lt;=Parametros!$H$10)),1,0)</f>
        <v>1</v>
      </c>
      <c r="T210" s="15" t="n">
        <f aca="false">Q210+R210+S210</f>
        <v>6</v>
      </c>
      <c r="U210" s="15" t="str">
        <f aca="false">IF(OR(V210="Inactive",V210="No encontrada",V210="Duplicado"),"Descartada",IF(AND(T210&gt;=Parametros!$H$5,S210=1),"A",IF(T210&gt;=Parametros!$H$6,"B","C")))</f>
        <v>A</v>
      </c>
      <c r="V210" s="17" t="s">
        <v>94</v>
      </c>
      <c r="W210" s="17"/>
      <c r="X210" s="14" t="s">
        <v>2010</v>
      </c>
      <c r="Y210" s="14" t="s">
        <v>2011</v>
      </c>
      <c r="Z210" s="14" t="s">
        <v>2012</v>
      </c>
      <c r="AA210" s="16" t="s">
        <v>2013</v>
      </c>
      <c r="AB210" s="14"/>
      <c r="AC210" s="14"/>
      <c r="AD210" s="16" t="s">
        <v>2014</v>
      </c>
      <c r="AE210" s="16" t="s">
        <v>2015</v>
      </c>
      <c r="AF210" s="14"/>
      <c r="AG210" s="14"/>
      <c r="AH210" s="14" t="s">
        <v>2016</v>
      </c>
    </row>
    <row r="211" customFormat="false" ht="15" hidden="false" customHeight="false" outlineLevel="0" collapsed="false">
      <c r="A211" s="14" t="s">
        <v>2017</v>
      </c>
      <c r="B211" s="14" t="s">
        <v>2018</v>
      </c>
      <c r="C211" s="14" t="s">
        <v>670</v>
      </c>
      <c r="D211" s="14"/>
      <c r="E211" s="14" t="s">
        <v>9</v>
      </c>
      <c r="F211" s="14" t="s">
        <v>2019</v>
      </c>
      <c r="G211" s="15" t="s">
        <v>1675</v>
      </c>
      <c r="H211" s="14" t="s">
        <v>1629</v>
      </c>
      <c r="I211" s="14" t="s">
        <v>210</v>
      </c>
      <c r="J211" s="14" t="s">
        <v>148</v>
      </c>
      <c r="K211" s="14" t="s">
        <v>90</v>
      </c>
      <c r="L211" s="15" t="s">
        <v>91</v>
      </c>
      <c r="M211" s="14" t="s">
        <v>2020</v>
      </c>
      <c r="N211" s="16" t="s">
        <v>2021</v>
      </c>
      <c r="O211" s="15"/>
      <c r="P211" s="15"/>
      <c r="Q211" s="15" t="n">
        <f aca="false">IFERROR(VLOOKUP(J211,Parametros!$A$5:$B$9,2,FALSE()),0)</f>
        <v>3</v>
      </c>
      <c r="R211" s="15" t="n">
        <f aca="false">IFERROR(VLOOKUP(H211,Parametros!$D$5:$E$23,2,FALSE()),1)</f>
        <v>2</v>
      </c>
      <c r="S211" s="15" t="n">
        <f aca="false">IF(OR(N(O211)&gt;=Parametros!$H$9,AND(N(P211)&gt;0,N(P211)&lt;=Parametros!$H$10)),1,0)</f>
        <v>0</v>
      </c>
      <c r="T211" s="15" t="n">
        <f aca="false">Q211+R211+S211</f>
        <v>5</v>
      </c>
      <c r="U211" s="15" t="str">
        <f aca="false">IF(OR(V211="Inactive",V211="No encontrada",V211="Duplicado"),"Descartada",IF(AND(T211&gt;=Parametros!$H$5,S211=1),"A",IF(T211&gt;=Parametros!$H$6,"B","C")))</f>
        <v>B</v>
      </c>
      <c r="V211" s="17" t="s">
        <v>94</v>
      </c>
      <c r="W211" s="17"/>
      <c r="X211" s="14" t="s">
        <v>2022</v>
      </c>
      <c r="Y211" s="14" t="s">
        <v>2023</v>
      </c>
      <c r="Z211" s="14" t="s">
        <v>2024</v>
      </c>
      <c r="AA211" s="16" t="s">
        <v>2025</v>
      </c>
      <c r="AB211" s="14"/>
      <c r="AC211" s="14"/>
      <c r="AD211" s="16" t="s">
        <v>2021</v>
      </c>
      <c r="AE211" s="16" t="s">
        <v>2026</v>
      </c>
      <c r="AF211" s="14"/>
      <c r="AG211" s="14"/>
      <c r="AH211" s="14" t="s">
        <v>2016</v>
      </c>
    </row>
    <row r="212" customFormat="false" ht="15" hidden="false" customHeight="false" outlineLevel="0" collapsed="false">
      <c r="A212" s="14" t="s">
        <v>2027</v>
      </c>
      <c r="B212" s="14" t="s">
        <v>2028</v>
      </c>
      <c r="C212" s="14" t="s">
        <v>494</v>
      </c>
      <c r="D212" s="14" t="s">
        <v>536</v>
      </c>
      <c r="E212" s="14" t="s">
        <v>6</v>
      </c>
      <c r="F212" s="14" t="s">
        <v>2029</v>
      </c>
      <c r="G212" s="15" t="s">
        <v>1675</v>
      </c>
      <c r="H212" s="14" t="s">
        <v>1629</v>
      </c>
      <c r="I212" s="14" t="s">
        <v>72</v>
      </c>
      <c r="J212" s="14" t="s">
        <v>235</v>
      </c>
      <c r="K212" s="14" t="s">
        <v>90</v>
      </c>
      <c r="L212" s="15" t="s">
        <v>91</v>
      </c>
      <c r="M212" s="14" t="s">
        <v>2030</v>
      </c>
      <c r="N212" s="16" t="s">
        <v>2031</v>
      </c>
      <c r="O212" s="15"/>
      <c r="P212" s="15" t="n">
        <v>1981</v>
      </c>
      <c r="Q212" s="15" t="n">
        <f aca="false">IFERROR(VLOOKUP(J212,Parametros!$A$5:$B$9,2,FALSE()),0)</f>
        <v>2</v>
      </c>
      <c r="R212" s="15" t="n">
        <f aca="false">IFERROR(VLOOKUP(H212,Parametros!$D$5:$E$23,2,FALSE()),1)</f>
        <v>2</v>
      </c>
      <c r="S212" s="15" t="n">
        <f aca="false">IF(OR(N(O212)&gt;=Parametros!$H$9,AND(N(P212)&gt;0,N(P212)&lt;=Parametros!$H$10)),1,0)</f>
        <v>1</v>
      </c>
      <c r="T212" s="15" t="n">
        <f aca="false">Q212+R212+S212</f>
        <v>5</v>
      </c>
      <c r="U212" s="15" t="str">
        <f aca="false">IF(OR(V212="Inactive",V212="No encontrada",V212="Duplicado"),"Descartada",IF(AND(T212&gt;=Parametros!$H$5,S212=1),"A",IF(T212&gt;=Parametros!$H$6,"B","C")))</f>
        <v>B</v>
      </c>
      <c r="V212" s="17" t="s">
        <v>94</v>
      </c>
      <c r="W212" s="17"/>
      <c r="X212" s="14" t="s">
        <v>2032</v>
      </c>
      <c r="Y212" s="14" t="s">
        <v>2033</v>
      </c>
      <c r="Z212" s="14" t="s">
        <v>2034</v>
      </c>
      <c r="AA212" s="16" t="s">
        <v>2035</v>
      </c>
      <c r="AB212" s="14"/>
      <c r="AC212" s="14"/>
      <c r="AD212" s="16" t="s">
        <v>2031</v>
      </c>
      <c r="AE212" s="16" t="s">
        <v>2036</v>
      </c>
      <c r="AF212" s="14"/>
      <c r="AG212" s="14"/>
      <c r="AH212" s="14" t="s">
        <v>2016</v>
      </c>
    </row>
    <row r="213" customFormat="false" ht="15" hidden="false" customHeight="false" outlineLevel="0" collapsed="false">
      <c r="A213" s="14" t="s">
        <v>2037</v>
      </c>
      <c r="B213" s="14" t="s">
        <v>2038</v>
      </c>
      <c r="C213" s="14" t="s">
        <v>1025</v>
      </c>
      <c r="D213" s="14"/>
      <c r="E213" s="14" t="s">
        <v>9</v>
      </c>
      <c r="F213" s="14" t="s">
        <v>1950</v>
      </c>
      <c r="G213" s="15" t="s">
        <v>1675</v>
      </c>
      <c r="H213" s="14" t="s">
        <v>1629</v>
      </c>
      <c r="I213" s="14" t="s">
        <v>210</v>
      </c>
      <c r="J213" s="14" t="s">
        <v>235</v>
      </c>
      <c r="K213" s="14" t="s">
        <v>211</v>
      </c>
      <c r="L213" s="15" t="s">
        <v>91</v>
      </c>
      <c r="M213" s="14" t="s">
        <v>2039</v>
      </c>
      <c r="N213" s="16" t="s">
        <v>2040</v>
      </c>
      <c r="O213" s="15"/>
      <c r="P213" s="15" t="n">
        <v>1972</v>
      </c>
      <c r="Q213" s="15" t="n">
        <f aca="false">IFERROR(VLOOKUP(J213,Parametros!$A$5:$B$9,2,FALSE()),0)</f>
        <v>2</v>
      </c>
      <c r="R213" s="15" t="n">
        <f aca="false">IFERROR(VLOOKUP(H213,Parametros!$D$5:$E$23,2,FALSE()),1)</f>
        <v>2</v>
      </c>
      <c r="S213" s="15" t="n">
        <f aca="false">IF(OR(N(O213)&gt;=Parametros!$H$9,AND(N(P213)&gt;0,N(P213)&lt;=Parametros!$H$10)),1,0)</f>
        <v>1</v>
      </c>
      <c r="T213" s="15" t="n">
        <f aca="false">Q213+R213+S213</f>
        <v>5</v>
      </c>
      <c r="U213" s="15" t="str">
        <f aca="false">IF(OR(V213="Inactive",V213="No encontrada",V213="Duplicado"),"Descartada",IF(AND(T213&gt;=Parametros!$H$5,S213=1),"A",IF(T213&gt;=Parametros!$H$6,"B","C")))</f>
        <v>B</v>
      </c>
      <c r="V213" s="17" t="s">
        <v>94</v>
      </c>
      <c r="W213" s="17"/>
      <c r="X213" s="14" t="s">
        <v>2041</v>
      </c>
      <c r="Y213" s="14" t="s">
        <v>2042</v>
      </c>
      <c r="Z213" s="14" t="s">
        <v>2043</v>
      </c>
      <c r="AA213" s="16" t="s">
        <v>2044</v>
      </c>
      <c r="AB213" s="16" t="s">
        <v>2045</v>
      </c>
      <c r="AC213" s="14"/>
      <c r="AD213" s="16" t="s">
        <v>2040</v>
      </c>
      <c r="AE213" s="16" t="s">
        <v>2046</v>
      </c>
      <c r="AF213" s="14"/>
      <c r="AG213" s="14"/>
      <c r="AH213" s="14" t="s">
        <v>1958</v>
      </c>
    </row>
    <row r="214" customFormat="false" ht="15" hidden="false" customHeight="false" outlineLevel="0" collapsed="false">
      <c r="A214" s="14" t="s">
        <v>2047</v>
      </c>
      <c r="B214" s="14" t="s">
        <v>2048</v>
      </c>
      <c r="C214" s="14" t="s">
        <v>1113</v>
      </c>
      <c r="D214" s="14"/>
      <c r="E214" s="14" t="s">
        <v>6</v>
      </c>
      <c r="F214" s="14" t="s">
        <v>2049</v>
      </c>
      <c r="G214" s="15" t="s">
        <v>224</v>
      </c>
      <c r="H214" s="14" t="s">
        <v>225</v>
      </c>
      <c r="I214" s="14" t="s">
        <v>72</v>
      </c>
      <c r="J214" s="14" t="s">
        <v>199</v>
      </c>
      <c r="K214" s="14" t="s">
        <v>61</v>
      </c>
      <c r="L214" s="15" t="s">
        <v>91</v>
      </c>
      <c r="M214" s="14" t="s">
        <v>2050</v>
      </c>
      <c r="N214" s="16" t="s">
        <v>2051</v>
      </c>
      <c r="O214" s="15"/>
      <c r="P214" s="15"/>
      <c r="Q214" s="15" t="n">
        <f aca="false">IFERROR(VLOOKUP(J214,Parametros!$A$5:$B$9,2,FALSE()),0)</f>
        <v>1</v>
      </c>
      <c r="R214" s="15" t="n">
        <f aca="false">IFERROR(VLOOKUP(H214,Parametros!$D$5:$E$23,2,FALSE()),1)</f>
        <v>2</v>
      </c>
      <c r="S214" s="15" t="n">
        <f aca="false">IF(OR(N(O214)&gt;=Parametros!$H$9,AND(N(P214)&gt;0,N(P214)&lt;=Parametros!$H$10)),1,0)</f>
        <v>0</v>
      </c>
      <c r="T214" s="15" t="n">
        <f aca="false">Q214+R214+S214</f>
        <v>3</v>
      </c>
      <c r="U214" s="15" t="str">
        <f aca="false">IF(OR(V214="Inactive",V214="No encontrada",V214="Duplicado"),"Descartada",IF(AND(T214&gt;=Parametros!$H$5,S214=1),"A",IF(T214&gt;=Parametros!$H$6,"B","C")))</f>
        <v>C</v>
      </c>
      <c r="V214" s="17" t="s">
        <v>94</v>
      </c>
      <c r="W214" s="17"/>
      <c r="X214" s="14" t="s">
        <v>2052</v>
      </c>
      <c r="Y214" s="14" t="s">
        <v>2053</v>
      </c>
      <c r="Z214" s="14" t="s">
        <v>2054</v>
      </c>
      <c r="AA214" s="14"/>
      <c r="AB214" s="14"/>
      <c r="AC214" s="14"/>
      <c r="AD214" s="16" t="s">
        <v>2051</v>
      </c>
      <c r="AE214" s="16" t="s">
        <v>2055</v>
      </c>
      <c r="AF214" s="14"/>
      <c r="AG214" s="14"/>
      <c r="AH214" s="14" t="s">
        <v>1958</v>
      </c>
    </row>
    <row r="215" customFormat="false" ht="15" hidden="false" customHeight="false" outlineLevel="0" collapsed="false">
      <c r="A215" s="14" t="s">
        <v>2056</v>
      </c>
      <c r="B215" s="14" t="s">
        <v>2057</v>
      </c>
      <c r="C215" s="14" t="s">
        <v>670</v>
      </c>
      <c r="D215" s="14"/>
      <c r="E215" s="14" t="s">
        <v>9</v>
      </c>
      <c r="F215" s="14" t="s">
        <v>2058</v>
      </c>
      <c r="G215" s="15" t="s">
        <v>1675</v>
      </c>
      <c r="H215" s="14" t="s">
        <v>1629</v>
      </c>
      <c r="I215" s="14" t="s">
        <v>210</v>
      </c>
      <c r="J215" s="14" t="s">
        <v>199</v>
      </c>
      <c r="K215" s="14" t="s">
        <v>398</v>
      </c>
      <c r="L215" s="15" t="s">
        <v>91</v>
      </c>
      <c r="M215" s="14" t="s">
        <v>2059</v>
      </c>
      <c r="N215" s="16" t="s">
        <v>2060</v>
      </c>
      <c r="O215" s="15"/>
      <c r="P215" s="15" t="n">
        <v>1928</v>
      </c>
      <c r="Q215" s="15" t="n">
        <f aca="false">IFERROR(VLOOKUP(J215,Parametros!$A$5:$B$9,2,FALSE()),0)</f>
        <v>1</v>
      </c>
      <c r="R215" s="15" t="n">
        <f aca="false">IFERROR(VLOOKUP(H215,Parametros!$D$5:$E$23,2,FALSE()),1)</f>
        <v>2</v>
      </c>
      <c r="S215" s="15" t="n">
        <f aca="false">IF(OR(N(O215)&gt;=Parametros!$H$9,AND(N(P215)&gt;0,N(P215)&lt;=Parametros!$H$10)),1,0)</f>
        <v>1</v>
      </c>
      <c r="T215" s="15" t="n">
        <f aca="false">Q215+R215+S215</f>
        <v>4</v>
      </c>
      <c r="U215" s="15" t="str">
        <f aca="false">IF(OR(V215="Inactive",V215="No encontrada",V215="Duplicado"),"Descartada",IF(AND(T215&gt;=Parametros!$H$5,S215=1),"A",IF(T215&gt;=Parametros!$H$6,"B","C")))</f>
        <v>B</v>
      </c>
      <c r="V215" s="17" t="s">
        <v>94</v>
      </c>
      <c r="W215" s="17"/>
      <c r="X215" s="14" t="s">
        <v>2061</v>
      </c>
      <c r="Y215" s="14" t="s">
        <v>2062</v>
      </c>
      <c r="Z215" s="14" t="s">
        <v>2063</v>
      </c>
      <c r="AA215" s="14"/>
      <c r="AB215" s="14"/>
      <c r="AC215" s="16" t="s">
        <v>2064</v>
      </c>
      <c r="AD215" s="16" t="s">
        <v>2065</v>
      </c>
      <c r="AE215" s="16" t="s">
        <v>2066</v>
      </c>
      <c r="AF215" s="14"/>
      <c r="AG215" s="14"/>
      <c r="AH215" s="14" t="s">
        <v>1958</v>
      </c>
    </row>
    <row r="216" customFormat="false" ht="15" hidden="false" customHeight="false" outlineLevel="0" collapsed="false">
      <c r="A216" s="14" t="s">
        <v>2067</v>
      </c>
      <c r="B216" s="14" t="s">
        <v>2068</v>
      </c>
      <c r="C216" s="14" t="s">
        <v>1025</v>
      </c>
      <c r="D216" s="14"/>
      <c r="E216" s="14" t="s">
        <v>9</v>
      </c>
      <c r="F216" s="14" t="s">
        <v>2069</v>
      </c>
      <c r="G216" s="15" t="s">
        <v>1628</v>
      </c>
      <c r="H216" s="14" t="s">
        <v>1629</v>
      </c>
      <c r="I216" s="14" t="s">
        <v>210</v>
      </c>
      <c r="J216" s="14" t="s">
        <v>199</v>
      </c>
      <c r="K216" s="14" t="s">
        <v>90</v>
      </c>
      <c r="L216" s="15" t="s">
        <v>91</v>
      </c>
      <c r="M216" s="14" t="s">
        <v>2070</v>
      </c>
      <c r="N216" s="16" t="s">
        <v>2071</v>
      </c>
      <c r="O216" s="15"/>
      <c r="P216" s="15" t="n">
        <v>1958</v>
      </c>
      <c r="Q216" s="15" t="n">
        <f aca="false">IFERROR(VLOOKUP(J216,Parametros!$A$5:$B$9,2,FALSE()),0)</f>
        <v>1</v>
      </c>
      <c r="R216" s="15" t="n">
        <f aca="false">IFERROR(VLOOKUP(H216,Parametros!$D$5:$E$23,2,FALSE()),1)</f>
        <v>2</v>
      </c>
      <c r="S216" s="15" t="n">
        <f aca="false">IF(OR(N(O216)&gt;=Parametros!$H$9,AND(N(P216)&gt;0,N(P216)&lt;=Parametros!$H$10)),1,0)</f>
        <v>1</v>
      </c>
      <c r="T216" s="15" t="n">
        <f aca="false">Q216+R216+S216</f>
        <v>4</v>
      </c>
      <c r="U216" s="15" t="str">
        <f aca="false">IF(OR(V216="Inactive",V216="No encontrada",V216="Duplicado"),"Descartada",IF(AND(T216&gt;=Parametros!$H$5,S216=1),"A",IF(T216&gt;=Parametros!$H$6,"B","C")))</f>
        <v>B</v>
      </c>
      <c r="V216" s="17" t="s">
        <v>94</v>
      </c>
      <c r="W216" s="17"/>
      <c r="X216" s="14" t="s">
        <v>2072</v>
      </c>
      <c r="Y216" s="14" t="s">
        <v>2073</v>
      </c>
      <c r="Z216" s="14" t="s">
        <v>2074</v>
      </c>
      <c r="AA216" s="16" t="s">
        <v>2075</v>
      </c>
      <c r="AB216" s="14"/>
      <c r="AC216" s="14"/>
      <c r="AD216" s="16" t="s">
        <v>2071</v>
      </c>
      <c r="AE216" s="16" t="s">
        <v>2076</v>
      </c>
      <c r="AF216" s="14"/>
      <c r="AG216" s="14"/>
      <c r="AH216" s="14" t="s">
        <v>1958</v>
      </c>
    </row>
    <row r="217" customFormat="false" ht="15" hidden="false" customHeight="false" outlineLevel="0" collapsed="false">
      <c r="A217" s="14" t="s">
        <v>2077</v>
      </c>
      <c r="B217" s="14" t="s">
        <v>2078</v>
      </c>
      <c r="C217" s="14" t="s">
        <v>1025</v>
      </c>
      <c r="D217" s="14"/>
      <c r="E217" s="14" t="s">
        <v>9</v>
      </c>
      <c r="F217" s="14" t="s">
        <v>1961</v>
      </c>
      <c r="G217" s="15" t="s">
        <v>1628</v>
      </c>
      <c r="H217" s="14" t="s">
        <v>1629</v>
      </c>
      <c r="I217" s="14" t="s">
        <v>210</v>
      </c>
      <c r="J217" s="14" t="s">
        <v>199</v>
      </c>
      <c r="K217" s="14" t="s">
        <v>90</v>
      </c>
      <c r="L217" s="15" t="s">
        <v>91</v>
      </c>
      <c r="M217" s="14" t="s">
        <v>2079</v>
      </c>
      <c r="N217" s="16" t="s">
        <v>2080</v>
      </c>
      <c r="O217" s="15"/>
      <c r="P217" s="15"/>
      <c r="Q217" s="15" t="n">
        <f aca="false">IFERROR(VLOOKUP(J217,Parametros!$A$5:$B$9,2,FALSE()),0)</f>
        <v>1</v>
      </c>
      <c r="R217" s="15" t="n">
        <f aca="false">IFERROR(VLOOKUP(H217,Parametros!$D$5:$E$23,2,FALSE()),1)</f>
        <v>2</v>
      </c>
      <c r="S217" s="15" t="n">
        <f aca="false">IF(OR(N(O217)&gt;=Parametros!$H$9,AND(N(P217)&gt;0,N(P217)&lt;=Parametros!$H$10)),1,0)</f>
        <v>0</v>
      </c>
      <c r="T217" s="15" t="n">
        <f aca="false">Q217+R217+S217</f>
        <v>3</v>
      </c>
      <c r="U217" s="15" t="str">
        <f aca="false">IF(OR(V217="Inactive",V217="No encontrada",V217="Duplicado"),"Descartada",IF(AND(T217&gt;=Parametros!$H$5,S217=1),"A",IF(T217&gt;=Parametros!$H$6,"B","C")))</f>
        <v>C</v>
      </c>
      <c r="V217" s="17" t="s">
        <v>94</v>
      </c>
      <c r="W217" s="17"/>
      <c r="X217" s="14" t="s">
        <v>2081</v>
      </c>
      <c r="Y217" s="14" t="s">
        <v>2082</v>
      </c>
      <c r="Z217" s="14" t="s">
        <v>2083</v>
      </c>
      <c r="AA217" s="16" t="s">
        <v>2084</v>
      </c>
      <c r="AB217" s="14"/>
      <c r="AC217" s="14"/>
      <c r="AD217" s="16" t="s">
        <v>2085</v>
      </c>
      <c r="AE217" s="16" t="s">
        <v>2086</v>
      </c>
      <c r="AF217" s="14"/>
      <c r="AG217" s="14"/>
      <c r="AH217" s="14" t="s">
        <v>1958</v>
      </c>
    </row>
    <row r="218" customFormat="false" ht="23.85" hidden="false" customHeight="false" outlineLevel="0" collapsed="false">
      <c r="A218" s="14" t="s">
        <v>2087</v>
      </c>
      <c r="B218" s="14" t="s">
        <v>2088</v>
      </c>
      <c r="C218" s="14" t="s">
        <v>494</v>
      </c>
      <c r="D218" s="14" t="s">
        <v>2089</v>
      </c>
      <c r="E218" s="14" t="s">
        <v>6</v>
      </c>
      <c r="F218" s="14" t="s">
        <v>2090</v>
      </c>
      <c r="G218" s="15" t="s">
        <v>1628</v>
      </c>
      <c r="H218" s="14" t="s">
        <v>1629</v>
      </c>
      <c r="I218" s="14" t="s">
        <v>210</v>
      </c>
      <c r="J218" s="14" t="s">
        <v>148</v>
      </c>
      <c r="K218" s="14" t="s">
        <v>211</v>
      </c>
      <c r="L218" s="15" t="s">
        <v>91</v>
      </c>
      <c r="M218" s="14" t="s">
        <v>2091</v>
      </c>
      <c r="N218" s="16" t="s">
        <v>2092</v>
      </c>
      <c r="O218" s="15"/>
      <c r="P218" s="15" t="n">
        <v>1983</v>
      </c>
      <c r="Q218" s="15" t="n">
        <f aca="false">IFERROR(VLOOKUP(J218,Parametros!$A$5:$B$9,2,FALSE()),0)</f>
        <v>3</v>
      </c>
      <c r="R218" s="15" t="n">
        <f aca="false">IFERROR(VLOOKUP(H218,Parametros!$D$5:$E$23,2,FALSE()),1)</f>
        <v>2</v>
      </c>
      <c r="S218" s="15" t="n">
        <f aca="false">IF(OR(N(O218)&gt;=Parametros!$H$9,AND(N(P218)&gt;0,N(P218)&lt;=Parametros!$H$10)),1,0)</f>
        <v>1</v>
      </c>
      <c r="T218" s="15" t="n">
        <f aca="false">Q218+R218+S218</f>
        <v>6</v>
      </c>
      <c r="U218" s="15" t="str">
        <f aca="false">IF(OR(V218="Inactive",V218="No encontrada",V218="Duplicado"),"Descartada",IF(AND(T218&gt;=Parametros!$H$5,S218=1),"A",IF(T218&gt;=Parametros!$H$6,"B","C")))</f>
        <v>A</v>
      </c>
      <c r="V218" s="17" t="s">
        <v>94</v>
      </c>
      <c r="W218" s="17"/>
      <c r="X218" s="14" t="s">
        <v>2093</v>
      </c>
      <c r="Y218" s="14" t="s">
        <v>2094</v>
      </c>
      <c r="Z218" s="14" t="s">
        <v>2095</v>
      </c>
      <c r="AA218" s="16" t="s">
        <v>2096</v>
      </c>
      <c r="AB218" s="16" t="s">
        <v>2097</v>
      </c>
      <c r="AC218" s="14"/>
      <c r="AD218" s="16" t="s">
        <v>2092</v>
      </c>
      <c r="AE218" s="16" t="s">
        <v>2098</v>
      </c>
      <c r="AF218" s="14"/>
      <c r="AG218" s="14" t="s">
        <v>2099</v>
      </c>
      <c r="AH218" s="14" t="s">
        <v>1958</v>
      </c>
    </row>
    <row r="219" customFormat="false" ht="15" hidden="false" customHeight="false" outlineLevel="0" collapsed="false">
      <c r="A219" s="14" t="s">
        <v>2100</v>
      </c>
      <c r="B219" s="14" t="s">
        <v>2101</v>
      </c>
      <c r="C219" s="14" t="s">
        <v>494</v>
      </c>
      <c r="D219" s="14" t="s">
        <v>536</v>
      </c>
      <c r="E219" s="14" t="s">
        <v>6</v>
      </c>
      <c r="F219" s="14" t="s">
        <v>2102</v>
      </c>
      <c r="G219" s="15" t="s">
        <v>1628</v>
      </c>
      <c r="H219" s="14" t="s">
        <v>1629</v>
      </c>
      <c r="I219" s="14" t="s">
        <v>210</v>
      </c>
      <c r="J219" s="14" t="s">
        <v>199</v>
      </c>
      <c r="K219" s="14" t="s">
        <v>90</v>
      </c>
      <c r="L219" s="15" t="s">
        <v>91</v>
      </c>
      <c r="M219" s="14" t="s">
        <v>2103</v>
      </c>
      <c r="N219" s="16" t="s">
        <v>2104</v>
      </c>
      <c r="O219" s="15"/>
      <c r="P219" s="15" t="n">
        <v>1980</v>
      </c>
      <c r="Q219" s="15" t="n">
        <f aca="false">IFERROR(VLOOKUP(J219,Parametros!$A$5:$B$9,2,FALSE()),0)</f>
        <v>1</v>
      </c>
      <c r="R219" s="15" t="n">
        <f aca="false">IFERROR(VLOOKUP(H219,Parametros!$D$5:$E$23,2,FALSE()),1)</f>
        <v>2</v>
      </c>
      <c r="S219" s="15" t="n">
        <f aca="false">IF(OR(N(O219)&gt;=Parametros!$H$9,AND(N(P219)&gt;0,N(P219)&lt;=Parametros!$H$10)),1,0)</f>
        <v>1</v>
      </c>
      <c r="T219" s="15" t="n">
        <f aca="false">Q219+R219+S219</f>
        <v>4</v>
      </c>
      <c r="U219" s="15" t="str">
        <f aca="false">IF(OR(V219="Inactive",V219="No encontrada",V219="Duplicado"),"Descartada",IF(AND(T219&gt;=Parametros!$H$5,S219=1),"A",IF(T219&gt;=Parametros!$H$6,"B","C")))</f>
        <v>B</v>
      </c>
      <c r="V219" s="17" t="s">
        <v>94</v>
      </c>
      <c r="W219" s="17"/>
      <c r="X219" s="14" t="s">
        <v>2105</v>
      </c>
      <c r="Y219" s="14" t="s">
        <v>2106</v>
      </c>
      <c r="Z219" s="14" t="s">
        <v>2107</v>
      </c>
      <c r="AA219" s="16" t="s">
        <v>2108</v>
      </c>
      <c r="AB219" s="14"/>
      <c r="AC219" s="14"/>
      <c r="AD219" s="16" t="s">
        <v>2104</v>
      </c>
      <c r="AE219" s="16" t="s">
        <v>2109</v>
      </c>
      <c r="AF219" s="14"/>
      <c r="AG219" s="14"/>
      <c r="AH219" s="14" t="s">
        <v>1958</v>
      </c>
    </row>
    <row r="220" customFormat="false" ht="15" hidden="false" customHeight="false" outlineLevel="0" collapsed="false">
      <c r="A220" s="14" t="s">
        <v>2110</v>
      </c>
      <c r="B220" s="14" t="s">
        <v>2111</v>
      </c>
      <c r="C220" s="14" t="s">
        <v>494</v>
      </c>
      <c r="D220" s="14" t="s">
        <v>536</v>
      </c>
      <c r="E220" s="14" t="s">
        <v>6</v>
      </c>
      <c r="F220" s="14" t="s">
        <v>2112</v>
      </c>
      <c r="G220" s="15" t="s">
        <v>1628</v>
      </c>
      <c r="H220" s="14" t="s">
        <v>1629</v>
      </c>
      <c r="I220" s="14" t="s">
        <v>210</v>
      </c>
      <c r="J220" s="14" t="s">
        <v>235</v>
      </c>
      <c r="K220" s="14" t="s">
        <v>90</v>
      </c>
      <c r="L220" s="15" t="s">
        <v>91</v>
      </c>
      <c r="M220" s="14" t="s">
        <v>2113</v>
      </c>
      <c r="N220" s="16" t="s">
        <v>2114</v>
      </c>
      <c r="O220" s="15"/>
      <c r="P220" s="15" t="n">
        <v>1990</v>
      </c>
      <c r="Q220" s="15" t="n">
        <f aca="false">IFERROR(VLOOKUP(J220,Parametros!$A$5:$B$9,2,FALSE()),0)</f>
        <v>2</v>
      </c>
      <c r="R220" s="15" t="n">
        <f aca="false">IFERROR(VLOOKUP(H220,Parametros!$D$5:$E$23,2,FALSE()),1)</f>
        <v>2</v>
      </c>
      <c r="S220" s="15" t="n">
        <f aca="false">IF(OR(N(O220)&gt;=Parametros!$H$9,AND(N(P220)&gt;0,N(P220)&lt;=Parametros!$H$10)),1,0)</f>
        <v>1</v>
      </c>
      <c r="T220" s="15" t="n">
        <f aca="false">Q220+R220+S220</f>
        <v>5</v>
      </c>
      <c r="U220" s="15" t="str">
        <f aca="false">IF(OR(V220="Inactive",V220="No encontrada",V220="Duplicado"),"Descartada",IF(AND(T220&gt;=Parametros!$H$5,S220=1),"A",IF(T220&gt;=Parametros!$H$6,"B","C")))</f>
        <v>B</v>
      </c>
      <c r="V220" s="17" t="s">
        <v>94</v>
      </c>
      <c r="W220" s="17"/>
      <c r="X220" s="14" t="s">
        <v>2115</v>
      </c>
      <c r="Y220" s="14" t="s">
        <v>2116</v>
      </c>
      <c r="Z220" s="14" t="s">
        <v>2117</v>
      </c>
      <c r="AA220" s="16" t="s">
        <v>2118</v>
      </c>
      <c r="AB220" s="14"/>
      <c r="AC220" s="14"/>
      <c r="AD220" s="16" t="s">
        <v>2114</v>
      </c>
      <c r="AE220" s="16" t="s">
        <v>2119</v>
      </c>
      <c r="AF220" s="14"/>
      <c r="AG220" s="14" t="s">
        <v>1559</v>
      </c>
      <c r="AH220" s="14" t="s">
        <v>1958</v>
      </c>
    </row>
    <row r="221" customFormat="false" ht="15" hidden="false" customHeight="false" outlineLevel="0" collapsed="false">
      <c r="A221" s="14" t="s">
        <v>2120</v>
      </c>
      <c r="B221" s="14" t="s">
        <v>2121</v>
      </c>
      <c r="C221" s="14" t="s">
        <v>494</v>
      </c>
      <c r="D221" s="14" t="s">
        <v>2122</v>
      </c>
      <c r="E221" s="14" t="s">
        <v>6</v>
      </c>
      <c r="F221" s="14" t="s">
        <v>2123</v>
      </c>
      <c r="G221" s="15" t="s">
        <v>1675</v>
      </c>
      <c r="H221" s="14" t="s">
        <v>1629</v>
      </c>
      <c r="I221" s="14" t="s">
        <v>210</v>
      </c>
      <c r="J221" s="14" t="s">
        <v>148</v>
      </c>
      <c r="K221" s="14" t="s">
        <v>61</v>
      </c>
      <c r="L221" s="15" t="s">
        <v>91</v>
      </c>
      <c r="M221" s="14" t="s">
        <v>2124</v>
      </c>
      <c r="N221" s="16" t="s">
        <v>2125</v>
      </c>
      <c r="O221" s="15"/>
      <c r="P221" s="15"/>
      <c r="Q221" s="15" t="n">
        <f aca="false">IFERROR(VLOOKUP(J221,Parametros!$A$5:$B$9,2,FALSE()),0)</f>
        <v>3</v>
      </c>
      <c r="R221" s="15" t="n">
        <f aca="false">IFERROR(VLOOKUP(H221,Parametros!$D$5:$E$23,2,FALSE()),1)</f>
        <v>2</v>
      </c>
      <c r="S221" s="15" t="n">
        <f aca="false">IF(OR(N(O221)&gt;=Parametros!$H$9,AND(N(P221)&gt;0,N(P221)&lt;=Parametros!$H$10)),1,0)</f>
        <v>0</v>
      </c>
      <c r="T221" s="15" t="n">
        <f aca="false">Q221+R221+S221</f>
        <v>5</v>
      </c>
      <c r="U221" s="15" t="str">
        <f aca="false">IF(OR(V221="Inactive",V221="No encontrada",V221="Duplicado"),"Descartada",IF(AND(T221&gt;=Parametros!$H$5,S221=1),"A",IF(T221&gt;=Parametros!$H$6,"B","C")))</f>
        <v>B</v>
      </c>
      <c r="V221" s="17" t="s">
        <v>94</v>
      </c>
      <c r="W221" s="17"/>
      <c r="X221" s="14" t="s">
        <v>2126</v>
      </c>
      <c r="Y221" s="14" t="s">
        <v>2127</v>
      </c>
      <c r="Z221" s="14" t="s">
        <v>2128</v>
      </c>
      <c r="AA221" s="14"/>
      <c r="AB221" s="14"/>
      <c r="AC221" s="14"/>
      <c r="AD221" s="16" t="s">
        <v>2125</v>
      </c>
      <c r="AE221" s="16" t="s">
        <v>2129</v>
      </c>
      <c r="AF221" s="14"/>
      <c r="AG221" s="14" t="s">
        <v>2099</v>
      </c>
      <c r="AH221" s="14" t="s">
        <v>2130</v>
      </c>
    </row>
    <row r="222" customFormat="false" ht="15" hidden="false" customHeight="false" outlineLevel="0" collapsed="false">
      <c r="A222" s="14" t="s">
        <v>2131</v>
      </c>
      <c r="B222" s="14" t="s">
        <v>2132</v>
      </c>
      <c r="C222" s="14" t="s">
        <v>494</v>
      </c>
      <c r="D222" s="14" t="s">
        <v>2089</v>
      </c>
      <c r="E222" s="14" t="s">
        <v>6</v>
      </c>
      <c r="F222" s="14" t="s">
        <v>2133</v>
      </c>
      <c r="G222" s="15" t="s">
        <v>1675</v>
      </c>
      <c r="H222" s="14" t="s">
        <v>1629</v>
      </c>
      <c r="I222" s="14" t="s">
        <v>72</v>
      </c>
      <c r="J222" s="14" t="s">
        <v>199</v>
      </c>
      <c r="K222" s="14" t="s">
        <v>211</v>
      </c>
      <c r="L222" s="15" t="s">
        <v>91</v>
      </c>
      <c r="M222" s="14" t="s">
        <v>2134</v>
      </c>
      <c r="N222" s="16" t="s">
        <v>2135</v>
      </c>
      <c r="O222" s="15"/>
      <c r="P222" s="15" t="n">
        <v>2007</v>
      </c>
      <c r="Q222" s="15" t="n">
        <f aca="false">IFERROR(VLOOKUP(J222,Parametros!$A$5:$B$9,2,FALSE()),0)</f>
        <v>1</v>
      </c>
      <c r="R222" s="15" t="n">
        <f aca="false">IFERROR(VLOOKUP(H222,Parametros!$D$5:$E$23,2,FALSE()),1)</f>
        <v>2</v>
      </c>
      <c r="S222" s="15" t="n">
        <f aca="false">IF(OR(N(O222)&gt;=Parametros!$H$9,AND(N(P222)&gt;0,N(P222)&lt;=Parametros!$H$10)),1,0)</f>
        <v>0</v>
      </c>
      <c r="T222" s="15" t="n">
        <f aca="false">Q222+R222+S222</f>
        <v>3</v>
      </c>
      <c r="U222" s="15" t="str">
        <f aca="false">IF(OR(V222="Inactive",V222="No encontrada",V222="Duplicado"),"Descartada",IF(AND(T222&gt;=Parametros!$H$5,S222=1),"A",IF(T222&gt;=Parametros!$H$6,"B","C")))</f>
        <v>C</v>
      </c>
      <c r="V222" s="17" t="s">
        <v>94</v>
      </c>
      <c r="W222" s="17"/>
      <c r="X222" s="14" t="s">
        <v>2136</v>
      </c>
      <c r="Y222" s="14" t="s">
        <v>2137</v>
      </c>
      <c r="Z222" s="14" t="s">
        <v>2138</v>
      </c>
      <c r="AA222" s="16" t="s">
        <v>2139</v>
      </c>
      <c r="AB222" s="16" t="s">
        <v>2140</v>
      </c>
      <c r="AC222" s="14"/>
      <c r="AD222" s="16" t="s">
        <v>2135</v>
      </c>
      <c r="AE222" s="16" t="s">
        <v>2135</v>
      </c>
      <c r="AF222" s="14"/>
      <c r="AG222" s="14"/>
      <c r="AH222" s="14" t="s">
        <v>2130</v>
      </c>
    </row>
    <row r="223" customFormat="false" ht="15" hidden="false" customHeight="false" outlineLevel="0" collapsed="false">
      <c r="A223" s="14" t="s">
        <v>2141</v>
      </c>
      <c r="B223" s="14" t="s">
        <v>2142</v>
      </c>
      <c r="C223" s="14" t="s">
        <v>494</v>
      </c>
      <c r="D223" s="14" t="s">
        <v>495</v>
      </c>
      <c r="E223" s="14" t="s">
        <v>6</v>
      </c>
      <c r="F223" s="14" t="s">
        <v>2143</v>
      </c>
      <c r="G223" s="15" t="s">
        <v>113</v>
      </c>
      <c r="H223" s="14" t="s">
        <v>114</v>
      </c>
      <c r="I223" s="14" t="s">
        <v>72</v>
      </c>
      <c r="J223" s="14" t="s">
        <v>199</v>
      </c>
      <c r="K223" s="14" t="s">
        <v>312</v>
      </c>
      <c r="L223" s="15" t="s">
        <v>91</v>
      </c>
      <c r="M223" s="14" t="s">
        <v>2144</v>
      </c>
      <c r="N223" s="16" t="s">
        <v>2145</v>
      </c>
      <c r="O223" s="15" t="n">
        <v>11</v>
      </c>
      <c r="P223" s="15" t="n">
        <v>1985</v>
      </c>
      <c r="Q223" s="15" t="n">
        <f aca="false">IFERROR(VLOOKUP(J223,Parametros!$A$5:$B$9,2,FALSE()),0)</f>
        <v>1</v>
      </c>
      <c r="R223" s="15" t="n">
        <f aca="false">IFERROR(VLOOKUP(H223,Parametros!$D$5:$E$23,2,FALSE()),1)</f>
        <v>2</v>
      </c>
      <c r="S223" s="15" t="n">
        <f aca="false">IF(OR(N(O223)&gt;=Parametros!$H$9,AND(N(P223)&gt;0,N(P223)&lt;=Parametros!$H$10)),1,0)</f>
        <v>1</v>
      </c>
      <c r="T223" s="15" t="n">
        <f aca="false">Q223+R223+S223</f>
        <v>4</v>
      </c>
      <c r="U223" s="15" t="str">
        <f aca="false">IF(OR(V223="Inactive",V223="No encontrada",V223="Duplicado"),"Descartada",IF(AND(T223&gt;=Parametros!$H$5,S223=1),"A",IF(T223&gt;=Parametros!$H$6,"B","C")))</f>
        <v>B</v>
      </c>
      <c r="V223" s="17" t="s">
        <v>94</v>
      </c>
      <c r="W223" s="17"/>
      <c r="X223" s="14" t="s">
        <v>2146</v>
      </c>
      <c r="Y223" s="14" t="s">
        <v>2147</v>
      </c>
      <c r="Z223" s="14" t="s">
        <v>2148</v>
      </c>
      <c r="AA223" s="16" t="s">
        <v>2149</v>
      </c>
      <c r="AB223" s="14"/>
      <c r="AC223" s="16" t="s">
        <v>2150</v>
      </c>
      <c r="AD223" s="16" t="s">
        <v>2151</v>
      </c>
      <c r="AE223" s="16" t="s">
        <v>2152</v>
      </c>
      <c r="AF223" s="14"/>
      <c r="AG223" s="14"/>
      <c r="AH223" s="14" t="s">
        <v>2130</v>
      </c>
    </row>
    <row r="224" customFormat="false" ht="15" hidden="false" customHeight="false" outlineLevel="0" collapsed="false">
      <c r="A224" s="14" t="s">
        <v>2153</v>
      </c>
      <c r="B224" s="14" t="s">
        <v>2154</v>
      </c>
      <c r="C224" s="14" t="s">
        <v>494</v>
      </c>
      <c r="D224" s="14" t="s">
        <v>1970</v>
      </c>
      <c r="E224" s="14" t="s">
        <v>6</v>
      </c>
      <c r="F224" s="14" t="s">
        <v>2155</v>
      </c>
      <c r="G224" s="15" t="s">
        <v>1675</v>
      </c>
      <c r="H224" s="14" t="s">
        <v>1629</v>
      </c>
      <c r="I224" s="14" t="s">
        <v>72</v>
      </c>
      <c r="J224" s="14" t="s">
        <v>199</v>
      </c>
      <c r="K224" s="14" t="s">
        <v>61</v>
      </c>
      <c r="L224" s="15" t="s">
        <v>91</v>
      </c>
      <c r="M224" s="14" t="s">
        <v>2103</v>
      </c>
      <c r="N224" s="16" t="s">
        <v>2156</v>
      </c>
      <c r="O224" s="15"/>
      <c r="P224" s="15" t="n">
        <v>1980</v>
      </c>
      <c r="Q224" s="15" t="n">
        <f aca="false">IFERROR(VLOOKUP(J224,Parametros!$A$5:$B$9,2,FALSE()),0)</f>
        <v>1</v>
      </c>
      <c r="R224" s="15" t="n">
        <f aca="false">IFERROR(VLOOKUP(H224,Parametros!$D$5:$E$23,2,FALSE()),1)</f>
        <v>2</v>
      </c>
      <c r="S224" s="15" t="n">
        <f aca="false">IF(OR(N(O224)&gt;=Parametros!$H$9,AND(N(P224)&gt;0,N(P224)&lt;=Parametros!$H$10)),1,0)</f>
        <v>1</v>
      </c>
      <c r="T224" s="15" t="n">
        <f aca="false">Q224+R224+S224</f>
        <v>4</v>
      </c>
      <c r="U224" s="15" t="str">
        <f aca="false">IF(OR(V224="Inactive",V224="No encontrada",V224="Duplicado"),"Descartada",IF(AND(T224&gt;=Parametros!$H$5,S224=1),"A",IF(T224&gt;=Parametros!$H$6,"B","C")))</f>
        <v>B</v>
      </c>
      <c r="V224" s="17" t="s">
        <v>94</v>
      </c>
      <c r="W224" s="17"/>
      <c r="X224" s="14" t="s">
        <v>2157</v>
      </c>
      <c r="Y224" s="14" t="s">
        <v>2158</v>
      </c>
      <c r="Z224" s="14" t="s">
        <v>2159</v>
      </c>
      <c r="AA224" s="14"/>
      <c r="AB224" s="14"/>
      <c r="AC224" s="14"/>
      <c r="AD224" s="16" t="s">
        <v>2160</v>
      </c>
      <c r="AE224" s="16" t="s">
        <v>2161</v>
      </c>
      <c r="AF224" s="14"/>
      <c r="AG224" s="14" t="s">
        <v>2162</v>
      </c>
      <c r="AH224" s="14" t="s">
        <v>1958</v>
      </c>
    </row>
    <row r="225" customFormat="false" ht="15" hidden="false" customHeight="false" outlineLevel="0" collapsed="false">
      <c r="A225" s="14" t="s">
        <v>2163</v>
      </c>
      <c r="B225" s="14" t="s">
        <v>2164</v>
      </c>
      <c r="C225" s="14" t="s">
        <v>955</v>
      </c>
      <c r="D225" s="14"/>
      <c r="E225" s="14" t="s">
        <v>6</v>
      </c>
      <c r="F225" s="14" t="s">
        <v>2165</v>
      </c>
      <c r="G225" s="15" t="s">
        <v>1675</v>
      </c>
      <c r="H225" s="14" t="s">
        <v>1629</v>
      </c>
      <c r="I225" s="14" t="s">
        <v>72</v>
      </c>
      <c r="J225" s="14" t="s">
        <v>8</v>
      </c>
      <c r="K225" s="14" t="s">
        <v>61</v>
      </c>
      <c r="L225" s="15" t="s">
        <v>91</v>
      </c>
      <c r="M225" s="14" t="s">
        <v>2166</v>
      </c>
      <c r="N225" s="16" t="s">
        <v>2167</v>
      </c>
      <c r="O225" s="15"/>
      <c r="P225" s="15" t="n">
        <v>1990</v>
      </c>
      <c r="Q225" s="15" t="n">
        <f aca="false">IFERROR(VLOOKUP(J225,Parametros!$A$5:$B$9,2,FALSE()),0)</f>
        <v>3</v>
      </c>
      <c r="R225" s="15" t="n">
        <f aca="false">IFERROR(VLOOKUP(H225,Parametros!$D$5:$E$23,2,FALSE()),1)</f>
        <v>2</v>
      </c>
      <c r="S225" s="15" t="n">
        <f aca="false">IF(OR(N(O225)&gt;=Parametros!$H$9,AND(N(P225)&gt;0,N(P225)&lt;=Parametros!$H$10)),1,0)</f>
        <v>1</v>
      </c>
      <c r="T225" s="15" t="n">
        <f aca="false">Q225+R225+S225</f>
        <v>6</v>
      </c>
      <c r="U225" s="15" t="str">
        <f aca="false">IF(OR(V225="Inactive",V225="No encontrada",V225="Duplicado"),"Descartada",IF(AND(T225&gt;=Parametros!$H$5,S225=1),"A",IF(T225&gt;=Parametros!$H$6,"B","C")))</f>
        <v>A</v>
      </c>
      <c r="V225" s="17" t="s">
        <v>94</v>
      </c>
      <c r="W225" s="17"/>
      <c r="X225" s="14" t="s">
        <v>2168</v>
      </c>
      <c r="Y225" s="14" t="s">
        <v>2169</v>
      </c>
      <c r="Z225" s="14"/>
      <c r="AA225" s="14"/>
      <c r="AB225" s="14"/>
      <c r="AC225" s="14"/>
      <c r="AD225" s="16" t="s">
        <v>2167</v>
      </c>
      <c r="AE225" s="16" t="s">
        <v>2170</v>
      </c>
      <c r="AF225" s="14"/>
      <c r="AG225" s="14" t="s">
        <v>100</v>
      </c>
      <c r="AH225" s="14" t="s">
        <v>2016</v>
      </c>
    </row>
    <row r="226" customFormat="false" ht="15" hidden="false" customHeight="false" outlineLevel="0" collapsed="false">
      <c r="A226" s="14" t="s">
        <v>2171</v>
      </c>
      <c r="B226" s="14" t="s">
        <v>2172</v>
      </c>
      <c r="C226" s="14" t="s">
        <v>658</v>
      </c>
      <c r="D226" s="14"/>
      <c r="E226" s="14" t="s">
        <v>6</v>
      </c>
      <c r="F226" s="14" t="s">
        <v>2029</v>
      </c>
      <c r="G226" s="15" t="s">
        <v>1675</v>
      </c>
      <c r="H226" s="14" t="s">
        <v>1629</v>
      </c>
      <c r="I226" s="14" t="s">
        <v>210</v>
      </c>
      <c r="J226" s="14" t="s">
        <v>235</v>
      </c>
      <c r="K226" s="14" t="s">
        <v>90</v>
      </c>
      <c r="L226" s="15" t="s">
        <v>91</v>
      </c>
      <c r="M226" s="14" t="s">
        <v>2173</v>
      </c>
      <c r="N226" s="16" t="s">
        <v>2174</v>
      </c>
      <c r="O226" s="15"/>
      <c r="P226" s="15"/>
      <c r="Q226" s="15" t="n">
        <f aca="false">IFERROR(VLOOKUP(J226,Parametros!$A$5:$B$9,2,FALSE()),0)</f>
        <v>2</v>
      </c>
      <c r="R226" s="15" t="n">
        <f aca="false">IFERROR(VLOOKUP(H226,Parametros!$D$5:$E$23,2,FALSE()),1)</f>
        <v>2</v>
      </c>
      <c r="S226" s="15" t="n">
        <f aca="false">IF(OR(N(O226)&gt;=Parametros!$H$9,AND(N(P226)&gt;0,N(P226)&lt;=Parametros!$H$10)),1,0)</f>
        <v>0</v>
      </c>
      <c r="T226" s="15" t="n">
        <f aca="false">Q226+R226+S226</f>
        <v>4</v>
      </c>
      <c r="U226" s="15" t="str">
        <f aca="false">IF(OR(V226="Inactive",V226="No encontrada",V226="Duplicado"),"Descartada",IF(AND(T226&gt;=Parametros!$H$5,S226=1),"A",IF(T226&gt;=Parametros!$H$6,"B","C")))</f>
        <v>B</v>
      </c>
      <c r="V226" s="17" t="s">
        <v>94</v>
      </c>
      <c r="W226" s="17"/>
      <c r="X226" s="14" t="s">
        <v>2175</v>
      </c>
      <c r="Y226" s="14" t="s">
        <v>2176</v>
      </c>
      <c r="Z226" s="14" t="s">
        <v>2177</v>
      </c>
      <c r="AA226" s="16" t="s">
        <v>2178</v>
      </c>
      <c r="AB226" s="14"/>
      <c r="AC226" s="14"/>
      <c r="AD226" s="16" t="s">
        <v>2174</v>
      </c>
      <c r="AE226" s="16" t="s">
        <v>2179</v>
      </c>
      <c r="AF226" s="14"/>
      <c r="AG226" s="14" t="s">
        <v>1483</v>
      </c>
      <c r="AH226" s="14" t="s">
        <v>2016</v>
      </c>
    </row>
    <row r="227" customFormat="false" ht="15" hidden="false" customHeight="false" outlineLevel="0" collapsed="false">
      <c r="A227" s="14" t="s">
        <v>2180</v>
      </c>
      <c r="B227" s="14" t="s">
        <v>2181</v>
      </c>
      <c r="C227" s="14" t="s">
        <v>1052</v>
      </c>
      <c r="D227" s="14"/>
      <c r="E227" s="14" t="s">
        <v>6</v>
      </c>
      <c r="F227" s="14" t="s">
        <v>2182</v>
      </c>
      <c r="G227" s="15" t="s">
        <v>1675</v>
      </c>
      <c r="H227" s="14" t="s">
        <v>1629</v>
      </c>
      <c r="I227" s="14" t="s">
        <v>89</v>
      </c>
      <c r="J227" s="14" t="s">
        <v>199</v>
      </c>
      <c r="K227" s="14" t="s">
        <v>90</v>
      </c>
      <c r="L227" s="15" t="s">
        <v>91</v>
      </c>
      <c r="M227" s="14" t="s">
        <v>2183</v>
      </c>
      <c r="N227" s="16" t="s">
        <v>2184</v>
      </c>
      <c r="O227" s="15" t="n">
        <v>1</v>
      </c>
      <c r="P227" s="15" t="n">
        <v>1945</v>
      </c>
      <c r="Q227" s="15" t="n">
        <f aca="false">IFERROR(VLOOKUP(J227,Parametros!$A$5:$B$9,2,FALSE()),0)</f>
        <v>1</v>
      </c>
      <c r="R227" s="15" t="n">
        <f aca="false">IFERROR(VLOOKUP(H227,Parametros!$D$5:$E$23,2,FALSE()),1)</f>
        <v>2</v>
      </c>
      <c r="S227" s="15" t="n">
        <f aca="false">IF(OR(N(O227)&gt;=Parametros!$H$9,AND(N(P227)&gt;0,N(P227)&lt;=Parametros!$H$10)),1,0)</f>
        <v>1</v>
      </c>
      <c r="T227" s="15" t="n">
        <f aca="false">Q227+R227+S227</f>
        <v>4</v>
      </c>
      <c r="U227" s="15" t="str">
        <f aca="false">IF(OR(V227="Inactive",V227="No encontrada",V227="Duplicado"),"Descartada",IF(AND(T227&gt;=Parametros!$H$5,S227=1),"A",IF(T227&gt;=Parametros!$H$6,"B","C")))</f>
        <v>B</v>
      </c>
      <c r="V227" s="17" t="s">
        <v>94</v>
      </c>
      <c r="W227" s="17"/>
      <c r="X227" s="14" t="s">
        <v>2185</v>
      </c>
      <c r="Y227" s="14" t="s">
        <v>2186</v>
      </c>
      <c r="Z227" s="14" t="s">
        <v>2187</v>
      </c>
      <c r="AA227" s="16" t="s">
        <v>2188</v>
      </c>
      <c r="AB227" s="14"/>
      <c r="AC227" s="14"/>
      <c r="AD227" s="16" t="s">
        <v>2189</v>
      </c>
      <c r="AE227" s="16" t="s">
        <v>2190</v>
      </c>
      <c r="AF227" s="14"/>
      <c r="AG227" s="14"/>
      <c r="AH227" s="14" t="s">
        <v>1958</v>
      </c>
    </row>
    <row r="228" customFormat="false" ht="15" hidden="false" customHeight="false" outlineLevel="0" collapsed="false">
      <c r="A228" s="14" t="s">
        <v>2191</v>
      </c>
      <c r="B228" s="14" t="s">
        <v>2192</v>
      </c>
      <c r="C228" s="14" t="s">
        <v>494</v>
      </c>
      <c r="D228" s="14" t="s">
        <v>2122</v>
      </c>
      <c r="E228" s="14" t="s">
        <v>6</v>
      </c>
      <c r="F228" s="14" t="s">
        <v>2193</v>
      </c>
      <c r="G228" s="15" t="s">
        <v>1675</v>
      </c>
      <c r="H228" s="14" t="s">
        <v>1629</v>
      </c>
      <c r="I228" s="14" t="s">
        <v>210</v>
      </c>
      <c r="J228" s="14" t="s">
        <v>199</v>
      </c>
      <c r="K228" s="14" t="s">
        <v>312</v>
      </c>
      <c r="L228" s="15" t="s">
        <v>91</v>
      </c>
      <c r="M228" s="14" t="s">
        <v>2194</v>
      </c>
      <c r="N228" s="16" t="s">
        <v>2195</v>
      </c>
      <c r="O228" s="15"/>
      <c r="P228" s="15" t="n">
        <v>1984</v>
      </c>
      <c r="Q228" s="15" t="n">
        <f aca="false">IFERROR(VLOOKUP(J228,Parametros!$A$5:$B$9,2,FALSE()),0)</f>
        <v>1</v>
      </c>
      <c r="R228" s="15" t="n">
        <f aca="false">IFERROR(VLOOKUP(H228,Parametros!$D$5:$E$23,2,FALSE()),1)</f>
        <v>2</v>
      </c>
      <c r="S228" s="15" t="n">
        <f aca="false">IF(OR(N(O228)&gt;=Parametros!$H$9,AND(N(P228)&gt;0,N(P228)&lt;=Parametros!$H$10)),1,0)</f>
        <v>1</v>
      </c>
      <c r="T228" s="15" t="n">
        <f aca="false">Q228+R228+S228</f>
        <v>4</v>
      </c>
      <c r="U228" s="15" t="str">
        <f aca="false">IF(OR(V228="Inactive",V228="No encontrada",V228="Duplicado"),"Descartada",IF(AND(T228&gt;=Parametros!$H$5,S228=1),"A",IF(T228&gt;=Parametros!$H$6,"B","C")))</f>
        <v>B</v>
      </c>
      <c r="V228" s="17" t="s">
        <v>94</v>
      </c>
      <c r="W228" s="17"/>
      <c r="X228" s="14" t="s">
        <v>2196</v>
      </c>
      <c r="Y228" s="14" t="s">
        <v>2197</v>
      </c>
      <c r="Z228" s="14" t="s">
        <v>2198</v>
      </c>
      <c r="AA228" s="16" t="s">
        <v>2199</v>
      </c>
      <c r="AB228" s="14"/>
      <c r="AC228" s="16" t="s">
        <v>2200</v>
      </c>
      <c r="AD228" s="16" t="s">
        <v>2195</v>
      </c>
      <c r="AE228" s="16" t="s">
        <v>2201</v>
      </c>
      <c r="AF228" s="14"/>
      <c r="AG228" s="14"/>
      <c r="AH228" s="14" t="s">
        <v>1958</v>
      </c>
    </row>
    <row r="229" customFormat="false" ht="15" hidden="false" customHeight="false" outlineLevel="0" collapsed="false">
      <c r="A229" s="14" t="s">
        <v>2202</v>
      </c>
      <c r="B229" s="14" t="s">
        <v>2203</v>
      </c>
      <c r="C229" s="14" t="s">
        <v>494</v>
      </c>
      <c r="D229" s="14" t="s">
        <v>2204</v>
      </c>
      <c r="E229" s="14" t="s">
        <v>6</v>
      </c>
      <c r="F229" s="14" t="s">
        <v>1989</v>
      </c>
      <c r="G229" s="15" t="s">
        <v>224</v>
      </c>
      <c r="H229" s="14" t="s">
        <v>225</v>
      </c>
      <c r="I229" s="14" t="s">
        <v>72</v>
      </c>
      <c r="J229" s="14" t="s">
        <v>148</v>
      </c>
      <c r="K229" s="14" t="s">
        <v>61</v>
      </c>
      <c r="L229" s="15" t="s">
        <v>91</v>
      </c>
      <c r="M229" s="14" t="s">
        <v>2205</v>
      </c>
      <c r="N229" s="16" t="s">
        <v>2206</v>
      </c>
      <c r="O229" s="15"/>
      <c r="P229" s="15" t="n">
        <v>1995</v>
      </c>
      <c r="Q229" s="15" t="n">
        <f aca="false">IFERROR(VLOOKUP(J229,Parametros!$A$5:$B$9,2,FALSE()),0)</f>
        <v>3</v>
      </c>
      <c r="R229" s="15" t="n">
        <f aca="false">IFERROR(VLOOKUP(H229,Parametros!$D$5:$E$23,2,FALSE()),1)</f>
        <v>2</v>
      </c>
      <c r="S229" s="15" t="n">
        <f aca="false">IF(OR(N(O229)&gt;=Parametros!$H$9,AND(N(P229)&gt;0,N(P229)&lt;=Parametros!$H$10)),1,0)</f>
        <v>1</v>
      </c>
      <c r="T229" s="15" t="n">
        <f aca="false">Q229+R229+S229</f>
        <v>6</v>
      </c>
      <c r="U229" s="15" t="str">
        <f aca="false">IF(OR(V229="Inactive",V229="No encontrada",V229="Duplicado"),"Descartada",IF(AND(T229&gt;=Parametros!$H$5,S229=1),"A",IF(T229&gt;=Parametros!$H$6,"B","C")))</f>
        <v>A</v>
      </c>
      <c r="V229" s="17" t="s">
        <v>94</v>
      </c>
      <c r="W229" s="17"/>
      <c r="X229" s="14" t="s">
        <v>2207</v>
      </c>
      <c r="Y229" s="14" t="s">
        <v>2208</v>
      </c>
      <c r="Z229" s="14" t="s">
        <v>2209</v>
      </c>
      <c r="AA229" s="14"/>
      <c r="AB229" s="14"/>
      <c r="AC229" s="14"/>
      <c r="AD229" s="16" t="s">
        <v>2206</v>
      </c>
      <c r="AE229" s="16" t="s">
        <v>2210</v>
      </c>
      <c r="AF229" s="14"/>
      <c r="AG229" s="14" t="s">
        <v>2099</v>
      </c>
      <c r="AH229" s="14" t="s">
        <v>1958</v>
      </c>
    </row>
    <row r="230" customFormat="false" ht="15" hidden="false" customHeight="false" outlineLevel="0" collapsed="false">
      <c r="A230" s="14" t="s">
        <v>2211</v>
      </c>
      <c r="B230" s="14" t="s">
        <v>2212</v>
      </c>
      <c r="C230" s="14" t="s">
        <v>563</v>
      </c>
      <c r="D230" s="14"/>
      <c r="E230" s="14" t="s">
        <v>6</v>
      </c>
      <c r="F230" s="14" t="s">
        <v>2213</v>
      </c>
      <c r="G230" s="15" t="s">
        <v>1628</v>
      </c>
      <c r="H230" s="14" t="s">
        <v>1629</v>
      </c>
      <c r="I230" s="14" t="s">
        <v>210</v>
      </c>
      <c r="J230" s="14" t="s">
        <v>235</v>
      </c>
      <c r="K230" s="14" t="s">
        <v>61</v>
      </c>
      <c r="L230" s="15" t="s">
        <v>91</v>
      </c>
      <c r="M230" s="14" t="s">
        <v>2214</v>
      </c>
      <c r="N230" s="16" t="s">
        <v>2215</v>
      </c>
      <c r="O230" s="15"/>
      <c r="P230" s="15" t="n">
        <v>1990</v>
      </c>
      <c r="Q230" s="15" t="n">
        <f aca="false">IFERROR(VLOOKUP(J230,Parametros!$A$5:$B$9,2,FALSE()),0)</f>
        <v>2</v>
      </c>
      <c r="R230" s="15" t="n">
        <f aca="false">IFERROR(VLOOKUP(H230,Parametros!$D$5:$E$23,2,FALSE()),1)</f>
        <v>2</v>
      </c>
      <c r="S230" s="15" t="n">
        <f aca="false">IF(OR(N(O230)&gt;=Parametros!$H$9,AND(N(P230)&gt;0,N(P230)&lt;=Parametros!$H$10)),1,0)</f>
        <v>1</v>
      </c>
      <c r="T230" s="15" t="n">
        <f aca="false">Q230+R230+S230</f>
        <v>5</v>
      </c>
      <c r="U230" s="15" t="str">
        <f aca="false">IF(OR(V230="Inactive",V230="No encontrada",V230="Duplicado"),"Descartada",IF(AND(T230&gt;=Parametros!$H$5,S230=1),"A",IF(T230&gt;=Parametros!$H$6,"B","C")))</f>
        <v>B</v>
      </c>
      <c r="V230" s="17" t="s">
        <v>94</v>
      </c>
      <c r="W230" s="17"/>
      <c r="X230" s="14" t="s">
        <v>2216</v>
      </c>
      <c r="Y230" s="14" t="s">
        <v>2217</v>
      </c>
      <c r="Z230" s="14"/>
      <c r="AA230" s="14"/>
      <c r="AB230" s="14"/>
      <c r="AC230" s="14"/>
      <c r="AD230" s="16" t="s">
        <v>2215</v>
      </c>
      <c r="AE230" s="16" t="s">
        <v>2218</v>
      </c>
      <c r="AF230" s="14"/>
      <c r="AG230" s="14" t="s">
        <v>100</v>
      </c>
      <c r="AH230" s="14" t="s">
        <v>1958</v>
      </c>
    </row>
    <row r="231" customFormat="false" ht="15" hidden="false" customHeight="false" outlineLevel="0" collapsed="false">
      <c r="A231" s="14" t="s">
        <v>2219</v>
      </c>
      <c r="B231" s="14" t="s">
        <v>2220</v>
      </c>
      <c r="C231" s="14" t="s">
        <v>563</v>
      </c>
      <c r="D231" s="14"/>
      <c r="E231" s="14" t="s">
        <v>6</v>
      </c>
      <c r="F231" s="14" t="s">
        <v>2221</v>
      </c>
      <c r="G231" s="15" t="s">
        <v>1675</v>
      </c>
      <c r="H231" s="14" t="s">
        <v>1629</v>
      </c>
      <c r="I231" s="14" t="s">
        <v>210</v>
      </c>
      <c r="J231" s="14" t="s">
        <v>199</v>
      </c>
      <c r="K231" s="14" t="s">
        <v>61</v>
      </c>
      <c r="L231" s="15" t="s">
        <v>91</v>
      </c>
      <c r="M231" s="14" t="s">
        <v>2222</v>
      </c>
      <c r="N231" s="16" t="s">
        <v>2223</v>
      </c>
      <c r="O231" s="15"/>
      <c r="P231" s="15" t="n">
        <v>1992</v>
      </c>
      <c r="Q231" s="15" t="n">
        <f aca="false">IFERROR(VLOOKUP(J231,Parametros!$A$5:$B$9,2,FALSE()),0)</f>
        <v>1</v>
      </c>
      <c r="R231" s="15" t="n">
        <f aca="false">IFERROR(VLOOKUP(H231,Parametros!$D$5:$E$23,2,FALSE()),1)</f>
        <v>2</v>
      </c>
      <c r="S231" s="15" t="n">
        <f aca="false">IF(OR(N(O231)&gt;=Parametros!$H$9,AND(N(P231)&gt;0,N(P231)&lt;=Parametros!$H$10)),1,0)</f>
        <v>1</v>
      </c>
      <c r="T231" s="15" t="n">
        <f aca="false">Q231+R231+S231</f>
        <v>4</v>
      </c>
      <c r="U231" s="15" t="str">
        <f aca="false">IF(OR(V231="Inactive",V231="No encontrada",V231="Duplicado"),"Descartada",IF(AND(T231&gt;=Parametros!$H$5,S231=1),"A",IF(T231&gt;=Parametros!$H$6,"B","C")))</f>
        <v>B</v>
      </c>
      <c r="V231" s="17" t="s">
        <v>94</v>
      </c>
      <c r="W231" s="17"/>
      <c r="X231" s="14" t="s">
        <v>2224</v>
      </c>
      <c r="Y231" s="14" t="s">
        <v>2225</v>
      </c>
      <c r="Z231" s="14" t="s">
        <v>2226</v>
      </c>
      <c r="AA231" s="14"/>
      <c r="AB231" s="14"/>
      <c r="AC231" s="14"/>
      <c r="AD231" s="16" t="s">
        <v>2227</v>
      </c>
      <c r="AE231" s="16" t="s">
        <v>2228</v>
      </c>
      <c r="AF231" s="14"/>
      <c r="AG231" s="14"/>
      <c r="AH231" s="14" t="s">
        <v>1958</v>
      </c>
    </row>
    <row r="232" customFormat="false" ht="15" hidden="false" customHeight="false" outlineLevel="0" collapsed="false">
      <c r="A232" s="14" t="s">
        <v>2229</v>
      </c>
      <c r="B232" s="14" t="s">
        <v>2230</v>
      </c>
      <c r="C232" s="14" t="s">
        <v>984</v>
      </c>
      <c r="D232" s="14"/>
      <c r="E232" s="14" t="s">
        <v>6</v>
      </c>
      <c r="F232" s="14" t="s">
        <v>2231</v>
      </c>
      <c r="G232" s="15" t="s">
        <v>1628</v>
      </c>
      <c r="H232" s="14" t="s">
        <v>1629</v>
      </c>
      <c r="I232" s="14" t="s">
        <v>210</v>
      </c>
      <c r="J232" s="14" t="s">
        <v>199</v>
      </c>
      <c r="K232" s="14" t="s">
        <v>61</v>
      </c>
      <c r="L232" s="15" t="s">
        <v>91</v>
      </c>
      <c r="M232" s="14" t="s">
        <v>2232</v>
      </c>
      <c r="N232" s="16" t="s">
        <v>2233</v>
      </c>
      <c r="O232" s="15"/>
      <c r="P232" s="15" t="n">
        <v>2000</v>
      </c>
      <c r="Q232" s="15" t="n">
        <f aca="false">IFERROR(VLOOKUP(J232,Parametros!$A$5:$B$9,2,FALSE()),0)</f>
        <v>1</v>
      </c>
      <c r="R232" s="15" t="n">
        <f aca="false">IFERROR(VLOOKUP(H232,Parametros!$D$5:$E$23,2,FALSE()),1)</f>
        <v>2</v>
      </c>
      <c r="S232" s="15" t="n">
        <f aca="false">IF(OR(N(O232)&gt;=Parametros!$H$9,AND(N(P232)&gt;0,N(P232)&lt;=Parametros!$H$10)),1,0)</f>
        <v>1</v>
      </c>
      <c r="T232" s="15" t="n">
        <f aca="false">Q232+R232+S232</f>
        <v>4</v>
      </c>
      <c r="U232" s="15" t="str">
        <f aca="false">IF(OR(V232="Inactive",V232="No encontrada",V232="Duplicado"),"Descartada",IF(AND(T232&gt;=Parametros!$H$5,S232=1),"A",IF(T232&gt;=Parametros!$H$6,"B","C")))</f>
        <v>B</v>
      </c>
      <c r="V232" s="17" t="s">
        <v>94</v>
      </c>
      <c r="W232" s="17"/>
      <c r="X232" s="14" t="s">
        <v>2234</v>
      </c>
      <c r="Y232" s="14" t="s">
        <v>2235</v>
      </c>
      <c r="Z232" s="14" t="s">
        <v>2236</v>
      </c>
      <c r="AA232" s="14"/>
      <c r="AB232" s="14"/>
      <c r="AC232" s="14"/>
      <c r="AD232" s="16" t="s">
        <v>2237</v>
      </c>
      <c r="AE232" s="16" t="s">
        <v>2238</v>
      </c>
      <c r="AF232" s="14"/>
      <c r="AG232" s="14"/>
      <c r="AH232" s="14" t="s">
        <v>1958</v>
      </c>
    </row>
    <row r="233" customFormat="false" ht="15" hidden="false" customHeight="false" outlineLevel="0" collapsed="false">
      <c r="A233" s="14" t="s">
        <v>2239</v>
      </c>
      <c r="B233" s="14" t="s">
        <v>2240</v>
      </c>
      <c r="C233" s="14" t="s">
        <v>670</v>
      </c>
      <c r="D233" s="14"/>
      <c r="E233" s="14" t="s">
        <v>9</v>
      </c>
      <c r="F233" s="14" t="s">
        <v>2112</v>
      </c>
      <c r="G233" s="15" t="s">
        <v>1628</v>
      </c>
      <c r="H233" s="14" t="s">
        <v>1629</v>
      </c>
      <c r="I233" s="14" t="s">
        <v>210</v>
      </c>
      <c r="J233" s="14" t="s">
        <v>199</v>
      </c>
      <c r="K233" s="14" t="s">
        <v>61</v>
      </c>
      <c r="L233" s="15" t="s">
        <v>91</v>
      </c>
      <c r="M233" s="14" t="s">
        <v>2241</v>
      </c>
      <c r="N233" s="16" t="s">
        <v>2242</v>
      </c>
      <c r="O233" s="15"/>
      <c r="P233" s="15" t="n">
        <v>1990</v>
      </c>
      <c r="Q233" s="15" t="n">
        <f aca="false">IFERROR(VLOOKUP(J233,Parametros!$A$5:$B$9,2,FALSE()),0)</f>
        <v>1</v>
      </c>
      <c r="R233" s="15" t="n">
        <f aca="false">IFERROR(VLOOKUP(H233,Parametros!$D$5:$E$23,2,FALSE()),1)</f>
        <v>2</v>
      </c>
      <c r="S233" s="15" t="n">
        <f aca="false">IF(OR(N(O233)&gt;=Parametros!$H$9,AND(N(P233)&gt;0,N(P233)&lt;=Parametros!$H$10)),1,0)</f>
        <v>1</v>
      </c>
      <c r="T233" s="15" t="n">
        <f aca="false">Q233+R233+S233</f>
        <v>4</v>
      </c>
      <c r="U233" s="15" t="str">
        <f aca="false">IF(OR(V233="Inactive",V233="No encontrada",V233="Duplicado"),"Descartada",IF(AND(T233&gt;=Parametros!$H$5,S233=1),"A",IF(T233&gt;=Parametros!$H$6,"B","C")))</f>
        <v>B</v>
      </c>
      <c r="V233" s="17" t="s">
        <v>94</v>
      </c>
      <c r="W233" s="17"/>
      <c r="X233" s="14" t="s">
        <v>2243</v>
      </c>
      <c r="Y233" s="14"/>
      <c r="Z233" s="14" t="s">
        <v>2244</v>
      </c>
      <c r="AA233" s="14"/>
      <c r="AB233" s="14"/>
      <c r="AC233" s="14"/>
      <c r="AD233" s="16" t="s">
        <v>2245</v>
      </c>
      <c r="AE233" s="16" t="s">
        <v>2245</v>
      </c>
      <c r="AF233" s="14"/>
      <c r="AG233" s="14" t="s">
        <v>1947</v>
      </c>
      <c r="AH233" s="14" t="s">
        <v>1958</v>
      </c>
    </row>
    <row r="234" customFormat="false" ht="15" hidden="false" customHeight="false" outlineLevel="0" collapsed="false">
      <c r="A234" s="14" t="s">
        <v>2246</v>
      </c>
      <c r="B234" s="14" t="s">
        <v>2247</v>
      </c>
      <c r="C234" s="14" t="s">
        <v>1052</v>
      </c>
      <c r="D234" s="14"/>
      <c r="E234" s="14" t="s">
        <v>6</v>
      </c>
      <c r="F234" s="14" t="s">
        <v>2248</v>
      </c>
      <c r="G234" s="15" t="s">
        <v>224</v>
      </c>
      <c r="H234" s="14" t="s">
        <v>225</v>
      </c>
      <c r="I234" s="14" t="s">
        <v>210</v>
      </c>
      <c r="J234" s="14" t="s">
        <v>210</v>
      </c>
      <c r="K234" s="14" t="s">
        <v>61</v>
      </c>
      <c r="L234" s="15" t="s">
        <v>91</v>
      </c>
      <c r="M234" s="14" t="s">
        <v>2249</v>
      </c>
      <c r="N234" s="16" t="s">
        <v>2250</v>
      </c>
      <c r="O234" s="15"/>
      <c r="P234" s="15"/>
      <c r="Q234" s="15" t="n">
        <f aca="false">IFERROR(VLOOKUP(J234,Parametros!$A$5:$B$9,2,FALSE()),0)</f>
        <v>1</v>
      </c>
      <c r="R234" s="15" t="n">
        <f aca="false">IFERROR(VLOOKUP(H234,Parametros!$D$5:$E$23,2,FALSE()),1)</f>
        <v>2</v>
      </c>
      <c r="S234" s="15" t="n">
        <f aca="false">IF(OR(N(O234)&gt;=Parametros!$H$9,AND(N(P234)&gt;0,N(P234)&lt;=Parametros!$H$10)),1,0)</f>
        <v>0</v>
      </c>
      <c r="T234" s="15" t="n">
        <f aca="false">Q234+R234+S234</f>
        <v>3</v>
      </c>
      <c r="U234" s="15" t="str">
        <f aca="false">IF(OR(V234="Inactive",V234="No encontrada",V234="Duplicado"),"Descartada",IF(AND(T234&gt;=Parametros!$H$5,S234=1),"A",IF(T234&gt;=Parametros!$H$6,"B","C")))</f>
        <v>C</v>
      </c>
      <c r="V234" s="17" t="s">
        <v>94</v>
      </c>
      <c r="W234" s="17"/>
      <c r="X234" s="14" t="s">
        <v>2251</v>
      </c>
      <c r="Y234" s="14" t="s">
        <v>2252</v>
      </c>
      <c r="Z234" s="14"/>
      <c r="AA234" s="14"/>
      <c r="AB234" s="14"/>
      <c r="AC234" s="14"/>
      <c r="AD234" s="16" t="s">
        <v>2250</v>
      </c>
      <c r="AE234" s="16" t="s">
        <v>2253</v>
      </c>
      <c r="AF234" s="14"/>
      <c r="AG234" s="14"/>
      <c r="AH234" s="14" t="s">
        <v>83</v>
      </c>
    </row>
    <row r="235" customFormat="false" ht="15" hidden="false" customHeight="false" outlineLevel="0" collapsed="false">
      <c r="A235" s="14" t="s">
        <v>2254</v>
      </c>
      <c r="B235" s="14" t="s">
        <v>2255</v>
      </c>
      <c r="C235" s="14" t="s">
        <v>1052</v>
      </c>
      <c r="D235" s="14"/>
      <c r="E235" s="14" t="s">
        <v>6</v>
      </c>
      <c r="F235" s="14" t="s">
        <v>2256</v>
      </c>
      <c r="G235" s="15" t="s">
        <v>224</v>
      </c>
      <c r="H235" s="14" t="s">
        <v>225</v>
      </c>
      <c r="I235" s="14" t="s">
        <v>210</v>
      </c>
      <c r="J235" s="14" t="s">
        <v>8</v>
      </c>
      <c r="K235" s="14" t="s">
        <v>90</v>
      </c>
      <c r="L235" s="15" t="s">
        <v>91</v>
      </c>
      <c r="M235" s="14" t="s">
        <v>2257</v>
      </c>
      <c r="N235" s="16" t="s">
        <v>2258</v>
      </c>
      <c r="O235" s="15"/>
      <c r="P235" s="15"/>
      <c r="Q235" s="15" t="n">
        <f aca="false">IFERROR(VLOOKUP(J235,Parametros!$A$5:$B$9,2,FALSE()),0)</f>
        <v>3</v>
      </c>
      <c r="R235" s="15" t="n">
        <f aca="false">IFERROR(VLOOKUP(H235,Parametros!$D$5:$E$23,2,FALSE()),1)</f>
        <v>2</v>
      </c>
      <c r="S235" s="15" t="n">
        <f aca="false">IF(OR(N(O235)&gt;=Parametros!$H$9,AND(N(P235)&gt;0,N(P235)&lt;=Parametros!$H$10)),1,0)</f>
        <v>0</v>
      </c>
      <c r="T235" s="15" t="n">
        <f aca="false">Q235+R235+S235</f>
        <v>5</v>
      </c>
      <c r="U235" s="15" t="str">
        <f aca="false">IF(OR(V235="Inactive",V235="No encontrada",V235="Duplicado"),"Descartada",IF(AND(T235&gt;=Parametros!$H$5,S235=1),"A",IF(T235&gt;=Parametros!$H$6,"B","C")))</f>
        <v>B</v>
      </c>
      <c r="V235" s="17" t="s">
        <v>94</v>
      </c>
      <c r="W235" s="17"/>
      <c r="X235" s="14" t="s">
        <v>2259</v>
      </c>
      <c r="Y235" s="14" t="s">
        <v>2260</v>
      </c>
      <c r="Z235" s="14"/>
      <c r="AA235" s="16" t="s">
        <v>2261</v>
      </c>
      <c r="AB235" s="14"/>
      <c r="AC235" s="14"/>
      <c r="AD235" s="16" t="s">
        <v>2258</v>
      </c>
      <c r="AE235" s="16" t="s">
        <v>2262</v>
      </c>
      <c r="AF235" s="14"/>
      <c r="AG235" s="14" t="s">
        <v>100</v>
      </c>
      <c r="AH235" s="14" t="s">
        <v>83</v>
      </c>
    </row>
    <row r="236" customFormat="false" ht="23.85" hidden="false" customHeight="false" outlineLevel="0" collapsed="false">
      <c r="A236" s="14" t="s">
        <v>2263</v>
      </c>
      <c r="B236" s="14" t="s">
        <v>2264</v>
      </c>
      <c r="C236" s="14" t="s">
        <v>1052</v>
      </c>
      <c r="D236" s="14"/>
      <c r="E236" s="14" t="s">
        <v>6</v>
      </c>
      <c r="F236" s="14" t="s">
        <v>2265</v>
      </c>
      <c r="G236" s="15" t="s">
        <v>1675</v>
      </c>
      <c r="H236" s="14" t="s">
        <v>1629</v>
      </c>
      <c r="I236" s="14" t="s">
        <v>210</v>
      </c>
      <c r="J236" s="14" t="s">
        <v>235</v>
      </c>
      <c r="K236" s="14" t="s">
        <v>61</v>
      </c>
      <c r="L236" s="15" t="s">
        <v>91</v>
      </c>
      <c r="M236" s="14" t="s">
        <v>2266</v>
      </c>
      <c r="N236" s="16" t="s">
        <v>2267</v>
      </c>
      <c r="O236" s="15"/>
      <c r="P236" s="15" t="n">
        <v>1985</v>
      </c>
      <c r="Q236" s="15" t="n">
        <f aca="false">IFERROR(VLOOKUP(J236,Parametros!$A$5:$B$9,2,FALSE()),0)</f>
        <v>2</v>
      </c>
      <c r="R236" s="15" t="n">
        <f aca="false">IFERROR(VLOOKUP(H236,Parametros!$D$5:$E$23,2,FALSE()),1)</f>
        <v>2</v>
      </c>
      <c r="S236" s="15" t="n">
        <f aca="false">IF(OR(N(O236)&gt;=Parametros!$H$9,AND(N(P236)&gt;0,N(P236)&lt;=Parametros!$H$10)),1,0)</f>
        <v>1</v>
      </c>
      <c r="T236" s="15" t="n">
        <f aca="false">Q236+R236+S236</f>
        <v>5</v>
      </c>
      <c r="U236" s="15" t="str">
        <f aca="false">IF(OR(V236="Inactive",V236="No encontrada",V236="Duplicado"),"Descartada",IF(AND(T236&gt;=Parametros!$H$5,S236=1),"A",IF(T236&gt;=Parametros!$H$6,"B","C")))</f>
        <v>B</v>
      </c>
      <c r="V236" s="17" t="s">
        <v>94</v>
      </c>
      <c r="W236" s="17"/>
      <c r="X236" s="14" t="s">
        <v>2268</v>
      </c>
      <c r="Y236" s="14" t="s">
        <v>2269</v>
      </c>
      <c r="Z236" s="14" t="s">
        <v>2270</v>
      </c>
      <c r="AA236" s="14"/>
      <c r="AB236" s="14"/>
      <c r="AC236" s="14"/>
      <c r="AD236" s="16" t="s">
        <v>2267</v>
      </c>
      <c r="AE236" s="16" t="s">
        <v>2271</v>
      </c>
      <c r="AF236" s="14"/>
      <c r="AG236" s="14" t="s">
        <v>1559</v>
      </c>
      <c r="AH236" s="14" t="s">
        <v>83</v>
      </c>
    </row>
    <row r="237" customFormat="false" ht="15" hidden="false" customHeight="false" outlineLevel="0" collapsed="false">
      <c r="A237" s="14" t="s">
        <v>2272</v>
      </c>
      <c r="B237" s="14" t="s">
        <v>2273</v>
      </c>
      <c r="C237" s="14" t="s">
        <v>670</v>
      </c>
      <c r="D237" s="14"/>
      <c r="E237" s="14" t="s">
        <v>9</v>
      </c>
      <c r="F237" s="14" t="s">
        <v>2274</v>
      </c>
      <c r="G237" s="15" t="s">
        <v>1675</v>
      </c>
      <c r="H237" s="14" t="s">
        <v>1629</v>
      </c>
      <c r="I237" s="14" t="s">
        <v>72</v>
      </c>
      <c r="J237" s="14" t="s">
        <v>148</v>
      </c>
      <c r="K237" s="14" t="s">
        <v>90</v>
      </c>
      <c r="L237" s="15" t="s">
        <v>91</v>
      </c>
      <c r="M237" s="14" t="s">
        <v>2275</v>
      </c>
      <c r="N237" s="16" t="s">
        <v>2276</v>
      </c>
      <c r="O237" s="15"/>
      <c r="P237" s="15" t="n">
        <v>1972</v>
      </c>
      <c r="Q237" s="15" t="n">
        <f aca="false">IFERROR(VLOOKUP(J237,Parametros!$A$5:$B$9,2,FALSE()),0)</f>
        <v>3</v>
      </c>
      <c r="R237" s="15" t="n">
        <f aca="false">IFERROR(VLOOKUP(H237,Parametros!$D$5:$E$23,2,FALSE()),1)</f>
        <v>2</v>
      </c>
      <c r="S237" s="15" t="n">
        <f aca="false">IF(OR(N(O237)&gt;=Parametros!$H$9,AND(N(P237)&gt;0,N(P237)&lt;=Parametros!$H$10)),1,0)</f>
        <v>1</v>
      </c>
      <c r="T237" s="15" t="n">
        <f aca="false">Q237+R237+S237</f>
        <v>6</v>
      </c>
      <c r="U237" s="15" t="str">
        <f aca="false">IF(OR(V237="Inactive",V237="No encontrada",V237="Duplicado"),"Descartada",IF(AND(T237&gt;=Parametros!$H$5,S237=1),"A",IF(T237&gt;=Parametros!$H$6,"B","C")))</f>
        <v>A</v>
      </c>
      <c r="V237" s="17" t="s">
        <v>94</v>
      </c>
      <c r="W237" s="17"/>
      <c r="X237" s="14" t="s">
        <v>2277</v>
      </c>
      <c r="Y237" s="14" t="s">
        <v>2278</v>
      </c>
      <c r="Z237" s="14" t="s">
        <v>2279</v>
      </c>
      <c r="AA237" s="16" t="s">
        <v>2280</v>
      </c>
      <c r="AB237" s="14"/>
      <c r="AC237" s="14"/>
      <c r="AD237" s="16" t="s">
        <v>2281</v>
      </c>
      <c r="AE237" s="16" t="s">
        <v>2282</v>
      </c>
      <c r="AF237" s="14"/>
      <c r="AG237" s="14"/>
      <c r="AH237" s="14" t="s">
        <v>83</v>
      </c>
    </row>
    <row r="238" customFormat="false" ht="15" hidden="false" customHeight="false" outlineLevel="0" collapsed="false">
      <c r="A238" s="14" t="s">
        <v>2283</v>
      </c>
      <c r="B238" s="14" t="s">
        <v>2284</v>
      </c>
      <c r="C238" s="14" t="s">
        <v>670</v>
      </c>
      <c r="D238" s="14"/>
      <c r="E238" s="14" t="s">
        <v>9</v>
      </c>
      <c r="F238" s="14" t="s">
        <v>2285</v>
      </c>
      <c r="G238" s="15" t="s">
        <v>1675</v>
      </c>
      <c r="H238" s="14" t="s">
        <v>1629</v>
      </c>
      <c r="I238" s="14" t="s">
        <v>210</v>
      </c>
      <c r="J238" s="14" t="s">
        <v>199</v>
      </c>
      <c r="K238" s="14" t="s">
        <v>90</v>
      </c>
      <c r="L238" s="15" t="s">
        <v>91</v>
      </c>
      <c r="M238" s="14" t="s">
        <v>2286</v>
      </c>
      <c r="N238" s="16" t="s">
        <v>2287</v>
      </c>
      <c r="O238" s="15"/>
      <c r="P238" s="15" t="n">
        <v>1987</v>
      </c>
      <c r="Q238" s="15" t="n">
        <f aca="false">IFERROR(VLOOKUP(J238,Parametros!$A$5:$B$9,2,FALSE()),0)</f>
        <v>1</v>
      </c>
      <c r="R238" s="15" t="n">
        <f aca="false">IFERROR(VLOOKUP(H238,Parametros!$D$5:$E$23,2,FALSE()),1)</f>
        <v>2</v>
      </c>
      <c r="S238" s="15" t="n">
        <f aca="false">IF(OR(N(O238)&gt;=Parametros!$H$9,AND(N(P238)&gt;0,N(P238)&lt;=Parametros!$H$10)),1,0)</f>
        <v>1</v>
      </c>
      <c r="T238" s="15" t="n">
        <f aca="false">Q238+R238+S238</f>
        <v>4</v>
      </c>
      <c r="U238" s="15" t="str">
        <f aca="false">IF(OR(V238="Inactive",V238="No encontrada",V238="Duplicado"),"Descartada",IF(AND(T238&gt;=Parametros!$H$5,S238=1),"A",IF(T238&gt;=Parametros!$H$6,"B","C")))</f>
        <v>B</v>
      </c>
      <c r="V238" s="17" t="s">
        <v>94</v>
      </c>
      <c r="W238" s="17"/>
      <c r="X238" s="14" t="s">
        <v>2288</v>
      </c>
      <c r="Y238" s="14" t="s">
        <v>2289</v>
      </c>
      <c r="Z238" s="14" t="s">
        <v>2290</v>
      </c>
      <c r="AA238" s="16" t="s">
        <v>2291</v>
      </c>
      <c r="AB238" s="14"/>
      <c r="AC238" s="14"/>
      <c r="AD238" s="16" t="s">
        <v>2287</v>
      </c>
      <c r="AE238" s="16" t="s">
        <v>2292</v>
      </c>
      <c r="AF238" s="14"/>
      <c r="AG238" s="14"/>
      <c r="AH238" s="14" t="s">
        <v>83</v>
      </c>
    </row>
    <row r="239" customFormat="false" ht="15" hidden="false" customHeight="false" outlineLevel="0" collapsed="false">
      <c r="A239" s="14" t="s">
        <v>2293</v>
      </c>
      <c r="B239" s="14" t="s">
        <v>2294</v>
      </c>
      <c r="C239" s="14" t="s">
        <v>494</v>
      </c>
      <c r="D239" s="14" t="s">
        <v>1450</v>
      </c>
      <c r="E239" s="14" t="s">
        <v>6</v>
      </c>
      <c r="F239" s="14" t="s">
        <v>2295</v>
      </c>
      <c r="G239" s="15" t="s">
        <v>113</v>
      </c>
      <c r="H239" s="14" t="s">
        <v>114</v>
      </c>
      <c r="I239" s="14" t="s">
        <v>115</v>
      </c>
      <c r="J239" s="14" t="s">
        <v>199</v>
      </c>
      <c r="K239" s="14" t="s">
        <v>90</v>
      </c>
      <c r="L239" s="15" t="s">
        <v>91</v>
      </c>
      <c r="M239" s="14" t="s">
        <v>2296</v>
      </c>
      <c r="N239" s="16" t="s">
        <v>2297</v>
      </c>
      <c r="O239" s="15"/>
      <c r="P239" s="15" t="n">
        <v>1964</v>
      </c>
      <c r="Q239" s="15" t="n">
        <f aca="false">IFERROR(VLOOKUP(J239,Parametros!$A$5:$B$9,2,FALSE()),0)</f>
        <v>1</v>
      </c>
      <c r="R239" s="15" t="n">
        <f aca="false">IFERROR(VLOOKUP(H239,Parametros!$D$5:$E$23,2,FALSE()),1)</f>
        <v>2</v>
      </c>
      <c r="S239" s="15" t="n">
        <f aca="false">IF(OR(N(O239)&gt;=Parametros!$H$9,AND(N(P239)&gt;0,N(P239)&lt;=Parametros!$H$10)),1,0)</f>
        <v>1</v>
      </c>
      <c r="T239" s="15" t="n">
        <f aca="false">Q239+R239+S239</f>
        <v>4</v>
      </c>
      <c r="U239" s="15" t="str">
        <f aca="false">IF(OR(V239="Inactive",V239="No encontrada",V239="Duplicado"),"Descartada",IF(AND(T239&gt;=Parametros!$H$5,S239=1),"A",IF(T239&gt;=Parametros!$H$6,"B","C")))</f>
        <v>B</v>
      </c>
      <c r="V239" s="17" t="s">
        <v>94</v>
      </c>
      <c r="W239" s="17"/>
      <c r="X239" s="14" t="s">
        <v>2298</v>
      </c>
      <c r="Y239" s="14" t="s">
        <v>2299</v>
      </c>
      <c r="Z239" s="14" t="s">
        <v>2300</v>
      </c>
      <c r="AA239" s="16" t="s">
        <v>2301</v>
      </c>
      <c r="AB239" s="14"/>
      <c r="AC239" s="14"/>
      <c r="AD239" s="16" t="s">
        <v>2297</v>
      </c>
      <c r="AE239" s="16" t="s">
        <v>2302</v>
      </c>
      <c r="AF239" s="14"/>
      <c r="AG239" s="14"/>
      <c r="AH239" s="14" t="s">
        <v>83</v>
      </c>
    </row>
    <row r="240" customFormat="false" ht="15" hidden="false" customHeight="false" outlineLevel="0" collapsed="false">
      <c r="A240" s="14" t="s">
        <v>2303</v>
      </c>
      <c r="B240" s="14" t="s">
        <v>2304</v>
      </c>
      <c r="C240" s="14" t="s">
        <v>494</v>
      </c>
      <c r="D240" s="14" t="s">
        <v>1450</v>
      </c>
      <c r="E240" s="14" t="s">
        <v>6</v>
      </c>
      <c r="F240" s="14" t="s">
        <v>2305</v>
      </c>
      <c r="G240" s="15" t="s">
        <v>113</v>
      </c>
      <c r="H240" s="14" t="s">
        <v>114</v>
      </c>
      <c r="I240" s="14" t="s">
        <v>210</v>
      </c>
      <c r="J240" s="14" t="s">
        <v>235</v>
      </c>
      <c r="K240" s="14" t="s">
        <v>58</v>
      </c>
      <c r="L240" s="15" t="s">
        <v>91</v>
      </c>
      <c r="M240" s="14" t="s">
        <v>2306</v>
      </c>
      <c r="N240" s="16" t="s">
        <v>2307</v>
      </c>
      <c r="O240" s="15"/>
      <c r="P240" s="15"/>
      <c r="Q240" s="15" t="n">
        <f aca="false">IFERROR(VLOOKUP(J240,Parametros!$A$5:$B$9,2,FALSE()),0)</f>
        <v>2</v>
      </c>
      <c r="R240" s="15" t="n">
        <f aca="false">IFERROR(VLOOKUP(H240,Parametros!$D$5:$E$23,2,FALSE()),1)</f>
        <v>2</v>
      </c>
      <c r="S240" s="15" t="n">
        <f aca="false">IF(OR(N(O240)&gt;=Parametros!$H$9,AND(N(P240)&gt;0,N(P240)&lt;=Parametros!$H$10)),1,0)</f>
        <v>0</v>
      </c>
      <c r="T240" s="15" t="n">
        <f aca="false">Q240+R240+S240</f>
        <v>4</v>
      </c>
      <c r="U240" s="15" t="str">
        <f aca="false">IF(OR(V240="Inactive",V240="No encontrada",V240="Duplicado"),"Descartada",IF(AND(T240&gt;=Parametros!$H$5,S240=1),"A",IF(T240&gt;=Parametros!$H$6,"B","C")))</f>
        <v>B</v>
      </c>
      <c r="V240" s="17" t="s">
        <v>94</v>
      </c>
      <c r="W240" s="17"/>
      <c r="X240" s="14" t="s">
        <v>2308</v>
      </c>
      <c r="Y240" s="14" t="s">
        <v>2309</v>
      </c>
      <c r="Z240" s="14" t="s">
        <v>2310</v>
      </c>
      <c r="AA240" s="16" t="s">
        <v>2311</v>
      </c>
      <c r="AB240" s="14"/>
      <c r="AC240" s="14"/>
      <c r="AD240" s="14"/>
      <c r="AE240" s="16" t="s">
        <v>2312</v>
      </c>
      <c r="AF240" s="14"/>
      <c r="AG240" s="14" t="s">
        <v>1483</v>
      </c>
      <c r="AH240" s="14" t="s">
        <v>83</v>
      </c>
    </row>
    <row r="241" customFormat="false" ht="23.85" hidden="false" customHeight="false" outlineLevel="0" collapsed="false">
      <c r="A241" s="14" t="s">
        <v>2313</v>
      </c>
      <c r="B241" s="14" t="s">
        <v>2314</v>
      </c>
      <c r="C241" s="14" t="s">
        <v>420</v>
      </c>
      <c r="D241" s="14"/>
      <c r="E241" s="14" t="s">
        <v>6</v>
      </c>
      <c r="F241" s="14" t="s">
        <v>2315</v>
      </c>
      <c r="G241" s="15" t="s">
        <v>1675</v>
      </c>
      <c r="H241" s="14" t="s">
        <v>1629</v>
      </c>
      <c r="I241" s="14" t="s">
        <v>210</v>
      </c>
      <c r="J241" s="14" t="s">
        <v>235</v>
      </c>
      <c r="K241" s="14" t="s">
        <v>301</v>
      </c>
      <c r="L241" s="15" t="s">
        <v>91</v>
      </c>
      <c r="M241" s="14" t="s">
        <v>2316</v>
      </c>
      <c r="N241" s="16" t="s">
        <v>2317</v>
      </c>
      <c r="O241" s="15"/>
      <c r="P241" s="15" t="n">
        <v>1982</v>
      </c>
      <c r="Q241" s="15" t="n">
        <f aca="false">IFERROR(VLOOKUP(J241,Parametros!$A$5:$B$9,2,FALSE()),0)</f>
        <v>2</v>
      </c>
      <c r="R241" s="15" t="n">
        <f aca="false">IFERROR(VLOOKUP(H241,Parametros!$D$5:$E$23,2,FALSE()),1)</f>
        <v>2</v>
      </c>
      <c r="S241" s="15" t="n">
        <f aca="false">IF(OR(N(O241)&gt;=Parametros!$H$9,AND(N(P241)&gt;0,N(P241)&lt;=Parametros!$H$10)),1,0)</f>
        <v>1</v>
      </c>
      <c r="T241" s="15" t="n">
        <f aca="false">Q241+R241+S241</f>
        <v>5</v>
      </c>
      <c r="U241" s="15" t="str">
        <f aca="false">IF(OR(V241="Inactive",V241="No encontrada",V241="Duplicado"),"Descartada",IF(AND(T241&gt;=Parametros!$H$5,S241=1),"A",IF(T241&gt;=Parametros!$H$6,"B","C")))</f>
        <v>B</v>
      </c>
      <c r="V241" s="17" t="s">
        <v>94</v>
      </c>
      <c r="W241" s="17"/>
      <c r="X241" s="14" t="s">
        <v>2318</v>
      </c>
      <c r="Y241" s="14" t="s">
        <v>2319</v>
      </c>
      <c r="Z241" s="14" t="s">
        <v>2320</v>
      </c>
      <c r="AA241" s="16" t="s">
        <v>2321</v>
      </c>
      <c r="AB241" s="16" t="s">
        <v>2322</v>
      </c>
      <c r="AC241" s="14"/>
      <c r="AD241" s="14"/>
      <c r="AE241" s="16" t="s">
        <v>2323</v>
      </c>
      <c r="AF241" s="14"/>
      <c r="AG241" s="14" t="s">
        <v>1559</v>
      </c>
      <c r="AH241" s="14" t="s">
        <v>83</v>
      </c>
    </row>
    <row r="242" customFormat="false" ht="15" hidden="false" customHeight="false" outlineLevel="0" collapsed="false">
      <c r="A242" s="14" t="s">
        <v>2324</v>
      </c>
      <c r="B242" s="14" t="s">
        <v>2325</v>
      </c>
      <c r="C242" s="14" t="s">
        <v>2326</v>
      </c>
      <c r="D242" s="14"/>
      <c r="E242" s="14" t="s">
        <v>9</v>
      </c>
      <c r="F242" s="14" t="s">
        <v>2327</v>
      </c>
      <c r="G242" s="15" t="s">
        <v>224</v>
      </c>
      <c r="H242" s="14" t="s">
        <v>225</v>
      </c>
      <c r="I242" s="14" t="s">
        <v>72</v>
      </c>
      <c r="J242" s="14" t="s">
        <v>8</v>
      </c>
      <c r="K242" s="14" t="s">
        <v>61</v>
      </c>
      <c r="L242" s="15" t="s">
        <v>91</v>
      </c>
      <c r="M242" s="14" t="s">
        <v>2328</v>
      </c>
      <c r="N242" s="16" t="s">
        <v>2329</v>
      </c>
      <c r="O242" s="15"/>
      <c r="P242" s="15" t="n">
        <v>2000</v>
      </c>
      <c r="Q242" s="15" t="n">
        <f aca="false">IFERROR(VLOOKUP(J242,Parametros!$A$5:$B$9,2,FALSE()),0)</f>
        <v>3</v>
      </c>
      <c r="R242" s="15" t="n">
        <f aca="false">IFERROR(VLOOKUP(H242,Parametros!$D$5:$E$23,2,FALSE()),1)</f>
        <v>2</v>
      </c>
      <c r="S242" s="15" t="n">
        <f aca="false">IF(OR(N(O242)&gt;=Parametros!$H$9,AND(N(P242)&gt;0,N(P242)&lt;=Parametros!$H$10)),1,0)</f>
        <v>1</v>
      </c>
      <c r="T242" s="15" t="n">
        <f aca="false">Q242+R242+S242</f>
        <v>6</v>
      </c>
      <c r="U242" s="15" t="str">
        <f aca="false">IF(OR(V242="Inactive",V242="No encontrada",V242="Duplicado"),"Descartada",IF(AND(T242&gt;=Parametros!$H$5,S242=1),"A",IF(T242&gt;=Parametros!$H$6,"B","C")))</f>
        <v>A</v>
      </c>
      <c r="V242" s="17" t="s">
        <v>94</v>
      </c>
      <c r="W242" s="17"/>
      <c r="X242" s="14" t="s">
        <v>2330</v>
      </c>
      <c r="Y242" s="14" t="s">
        <v>2331</v>
      </c>
      <c r="Z242" s="14"/>
      <c r="AA242" s="14"/>
      <c r="AB242" s="14"/>
      <c r="AC242" s="14"/>
      <c r="AD242" s="16" t="s">
        <v>2329</v>
      </c>
      <c r="AE242" s="16" t="s">
        <v>2332</v>
      </c>
      <c r="AF242" s="14"/>
      <c r="AG242" s="14" t="s">
        <v>100</v>
      </c>
      <c r="AH242" s="14" t="s">
        <v>83</v>
      </c>
    </row>
    <row r="243" customFormat="false" ht="15" hidden="false" customHeight="false" outlineLevel="0" collapsed="false">
      <c r="A243" s="14" t="s">
        <v>2333</v>
      </c>
      <c r="B243" s="14" t="s">
        <v>2334</v>
      </c>
      <c r="C243" s="14" t="s">
        <v>2326</v>
      </c>
      <c r="D243" s="14"/>
      <c r="E243" s="14" t="s">
        <v>9</v>
      </c>
      <c r="F243" s="14" t="s">
        <v>2335</v>
      </c>
      <c r="G243" s="15" t="s">
        <v>1675</v>
      </c>
      <c r="H243" s="14" t="s">
        <v>1629</v>
      </c>
      <c r="I243" s="14" t="s">
        <v>210</v>
      </c>
      <c r="J243" s="14" t="s">
        <v>199</v>
      </c>
      <c r="K243" s="14" t="s">
        <v>90</v>
      </c>
      <c r="L243" s="15" t="s">
        <v>91</v>
      </c>
      <c r="M243" s="14" t="s">
        <v>2336</v>
      </c>
      <c r="N243" s="16" t="s">
        <v>2337</v>
      </c>
      <c r="O243" s="15"/>
      <c r="P243" s="15" t="n">
        <v>1995</v>
      </c>
      <c r="Q243" s="15" t="n">
        <f aca="false">IFERROR(VLOOKUP(J243,Parametros!$A$5:$B$9,2,FALSE()),0)</f>
        <v>1</v>
      </c>
      <c r="R243" s="15" t="n">
        <f aca="false">IFERROR(VLOOKUP(H243,Parametros!$D$5:$E$23,2,FALSE()),1)</f>
        <v>2</v>
      </c>
      <c r="S243" s="15" t="n">
        <f aca="false">IF(OR(N(O243)&gt;=Parametros!$H$9,AND(N(P243)&gt;0,N(P243)&lt;=Parametros!$H$10)),1,0)</f>
        <v>1</v>
      </c>
      <c r="T243" s="15" t="n">
        <f aca="false">Q243+R243+S243</f>
        <v>4</v>
      </c>
      <c r="U243" s="15" t="str">
        <f aca="false">IF(OR(V243="Inactive",V243="No encontrada",V243="Duplicado"),"Descartada",IF(AND(T243&gt;=Parametros!$H$5,S243=1),"A",IF(T243&gt;=Parametros!$H$6,"B","C")))</f>
        <v>B</v>
      </c>
      <c r="V243" s="17" t="s">
        <v>94</v>
      </c>
      <c r="W243" s="17"/>
      <c r="X243" s="14" t="s">
        <v>2338</v>
      </c>
      <c r="Y243" s="14" t="s">
        <v>2339</v>
      </c>
      <c r="Z243" s="14" t="s">
        <v>2340</v>
      </c>
      <c r="AA243" s="16" t="s">
        <v>2341</v>
      </c>
      <c r="AB243" s="14"/>
      <c r="AC243" s="14"/>
      <c r="AD243" s="16" t="s">
        <v>2342</v>
      </c>
      <c r="AE243" s="16" t="s">
        <v>2343</v>
      </c>
      <c r="AF243" s="14"/>
      <c r="AG243" s="14"/>
      <c r="AH243" s="14" t="s">
        <v>83</v>
      </c>
    </row>
    <row r="244" customFormat="false" ht="15" hidden="false" customHeight="false" outlineLevel="0" collapsed="false">
      <c r="A244" s="14" t="s">
        <v>2344</v>
      </c>
      <c r="B244" s="14" t="s">
        <v>2345</v>
      </c>
      <c r="C244" s="14" t="s">
        <v>658</v>
      </c>
      <c r="D244" s="14"/>
      <c r="E244" s="14" t="s">
        <v>6</v>
      </c>
      <c r="F244" s="14" t="s">
        <v>2346</v>
      </c>
      <c r="G244" s="15" t="s">
        <v>1675</v>
      </c>
      <c r="H244" s="14" t="s">
        <v>1629</v>
      </c>
      <c r="I244" s="14" t="s">
        <v>210</v>
      </c>
      <c r="J244" s="14" t="s">
        <v>8</v>
      </c>
      <c r="K244" s="14" t="s">
        <v>211</v>
      </c>
      <c r="L244" s="15" t="s">
        <v>91</v>
      </c>
      <c r="M244" s="14" t="s">
        <v>2347</v>
      </c>
      <c r="N244" s="16" t="s">
        <v>2348</v>
      </c>
      <c r="O244" s="15"/>
      <c r="P244" s="15" t="n">
        <v>2012</v>
      </c>
      <c r="Q244" s="15" t="n">
        <f aca="false">IFERROR(VLOOKUP(J244,Parametros!$A$5:$B$9,2,FALSE()),0)</f>
        <v>3</v>
      </c>
      <c r="R244" s="15" t="n">
        <f aca="false">IFERROR(VLOOKUP(H244,Parametros!$D$5:$E$23,2,FALSE()),1)</f>
        <v>2</v>
      </c>
      <c r="S244" s="15" t="n">
        <f aca="false">IF(OR(N(O244)&gt;=Parametros!$H$9,AND(N(P244)&gt;0,N(P244)&lt;=Parametros!$H$10)),1,0)</f>
        <v>0</v>
      </c>
      <c r="T244" s="15" t="n">
        <f aca="false">Q244+R244+S244</f>
        <v>5</v>
      </c>
      <c r="U244" s="15" t="str">
        <f aca="false">IF(OR(V244="Inactive",V244="No encontrada",V244="Duplicado"),"Descartada",IF(AND(T244&gt;=Parametros!$H$5,S244=1),"A",IF(T244&gt;=Parametros!$H$6,"B","C")))</f>
        <v>B</v>
      </c>
      <c r="V244" s="17" t="s">
        <v>94</v>
      </c>
      <c r="W244" s="17"/>
      <c r="X244" s="14" t="s">
        <v>2349</v>
      </c>
      <c r="Y244" s="14" t="s">
        <v>2350</v>
      </c>
      <c r="Z244" s="14"/>
      <c r="AA244" s="16" t="s">
        <v>2351</v>
      </c>
      <c r="AB244" s="16" t="s">
        <v>2352</v>
      </c>
      <c r="AC244" s="14"/>
      <c r="AD244" s="16" t="s">
        <v>2348</v>
      </c>
      <c r="AE244" s="16" t="s">
        <v>2348</v>
      </c>
      <c r="AF244" s="14"/>
      <c r="AG244" s="14" t="s">
        <v>100</v>
      </c>
      <c r="AH244" s="14" t="s">
        <v>83</v>
      </c>
    </row>
    <row r="245" customFormat="false" ht="23.85" hidden="false" customHeight="false" outlineLevel="0" collapsed="false">
      <c r="A245" s="14" t="s">
        <v>2353</v>
      </c>
      <c r="B245" s="14" t="s">
        <v>2354</v>
      </c>
      <c r="C245" s="14" t="s">
        <v>494</v>
      </c>
      <c r="D245" s="14" t="s">
        <v>536</v>
      </c>
      <c r="E245" s="14" t="s">
        <v>6</v>
      </c>
      <c r="F245" s="14" t="s">
        <v>2355</v>
      </c>
      <c r="G245" s="15" t="s">
        <v>1675</v>
      </c>
      <c r="H245" s="14" t="s">
        <v>1629</v>
      </c>
      <c r="I245" s="14" t="s">
        <v>210</v>
      </c>
      <c r="J245" s="14" t="s">
        <v>235</v>
      </c>
      <c r="K245" s="14" t="s">
        <v>90</v>
      </c>
      <c r="L245" s="15" t="s">
        <v>91</v>
      </c>
      <c r="M245" s="14" t="s">
        <v>2356</v>
      </c>
      <c r="N245" s="16" t="s">
        <v>2357</v>
      </c>
      <c r="O245" s="15"/>
      <c r="P245" s="15" t="n">
        <v>1972</v>
      </c>
      <c r="Q245" s="15" t="n">
        <f aca="false">IFERROR(VLOOKUP(J245,Parametros!$A$5:$B$9,2,FALSE()),0)</f>
        <v>2</v>
      </c>
      <c r="R245" s="15" t="n">
        <f aca="false">IFERROR(VLOOKUP(H245,Parametros!$D$5:$E$23,2,FALSE()),1)</f>
        <v>2</v>
      </c>
      <c r="S245" s="15" t="n">
        <f aca="false">IF(OR(N(O245)&gt;=Parametros!$H$9,AND(N(P245)&gt;0,N(P245)&lt;=Parametros!$H$10)),1,0)</f>
        <v>1</v>
      </c>
      <c r="T245" s="15" t="n">
        <f aca="false">Q245+R245+S245</f>
        <v>5</v>
      </c>
      <c r="U245" s="15" t="str">
        <f aca="false">IF(OR(V245="Inactive",V245="No encontrada",V245="Duplicado"),"Descartada",IF(AND(T245&gt;=Parametros!$H$5,S245=1),"A",IF(T245&gt;=Parametros!$H$6,"B","C")))</f>
        <v>B</v>
      </c>
      <c r="V245" s="17" t="s">
        <v>94</v>
      </c>
      <c r="W245" s="17"/>
      <c r="X245" s="14" t="s">
        <v>2358</v>
      </c>
      <c r="Y245" s="14" t="s">
        <v>2359</v>
      </c>
      <c r="Z245" s="14"/>
      <c r="AA245" s="16" t="s">
        <v>2360</v>
      </c>
      <c r="AB245" s="14"/>
      <c r="AC245" s="14"/>
      <c r="AD245" s="16" t="s">
        <v>2361</v>
      </c>
      <c r="AE245" s="16" t="s">
        <v>2362</v>
      </c>
      <c r="AF245" s="14"/>
      <c r="AG245" s="14" t="s">
        <v>2099</v>
      </c>
      <c r="AH245" s="14" t="s">
        <v>83</v>
      </c>
    </row>
    <row r="246" customFormat="false" ht="23.85" hidden="false" customHeight="false" outlineLevel="0" collapsed="false">
      <c r="A246" s="14" t="s">
        <v>2363</v>
      </c>
      <c r="B246" s="14" t="s">
        <v>2364</v>
      </c>
      <c r="C246" s="14" t="s">
        <v>2365</v>
      </c>
      <c r="D246" s="14"/>
      <c r="E246" s="14" t="s">
        <v>6</v>
      </c>
      <c r="F246" s="14" t="s">
        <v>2366</v>
      </c>
      <c r="G246" s="15" t="s">
        <v>70</v>
      </c>
      <c r="H246" s="14" t="s">
        <v>71</v>
      </c>
      <c r="I246" s="14" t="s">
        <v>210</v>
      </c>
      <c r="J246" s="14" t="s">
        <v>199</v>
      </c>
      <c r="K246" s="14" t="s">
        <v>58</v>
      </c>
      <c r="L246" s="15" t="s">
        <v>91</v>
      </c>
      <c r="M246" s="14" t="s">
        <v>2367</v>
      </c>
      <c r="N246" s="16" t="s">
        <v>2368</v>
      </c>
      <c r="O246" s="15"/>
      <c r="P246" s="15"/>
      <c r="Q246" s="15" t="n">
        <f aca="false">IFERROR(VLOOKUP(J246,Parametros!$A$5:$B$9,2,FALSE()),0)</f>
        <v>1</v>
      </c>
      <c r="R246" s="15" t="n">
        <f aca="false">IFERROR(VLOOKUP(H246,Parametros!$D$5:$E$23,2,FALSE()),1)</f>
        <v>2</v>
      </c>
      <c r="S246" s="15" t="n">
        <f aca="false">IF(OR(N(O246)&gt;=Parametros!$H$9,AND(N(P246)&gt;0,N(P246)&lt;=Parametros!$H$10)),1,0)</f>
        <v>0</v>
      </c>
      <c r="T246" s="15" t="n">
        <f aca="false">Q246+R246+S246</f>
        <v>3</v>
      </c>
      <c r="U246" s="15" t="str">
        <f aca="false">IF(OR(V246="Inactive",V246="No encontrada",V246="Duplicado"),"Descartada",IF(AND(T246&gt;=Parametros!$H$5,S246=1),"A",IF(T246&gt;=Parametros!$H$6,"B","C")))</f>
        <v>C</v>
      </c>
      <c r="V246" s="17" t="s">
        <v>94</v>
      </c>
      <c r="W246" s="17"/>
      <c r="X246" s="14" t="s">
        <v>2369</v>
      </c>
      <c r="Y246" s="14" t="s">
        <v>2370</v>
      </c>
      <c r="Z246" s="14" t="s">
        <v>2371</v>
      </c>
      <c r="AA246" s="16" t="s">
        <v>2372</v>
      </c>
      <c r="AB246" s="14"/>
      <c r="AC246" s="14"/>
      <c r="AD246" s="14"/>
      <c r="AE246" s="16" t="s">
        <v>2373</v>
      </c>
      <c r="AF246" s="14"/>
      <c r="AG246" s="14"/>
      <c r="AH246" s="14" t="s">
        <v>83</v>
      </c>
    </row>
    <row r="247" customFormat="false" ht="15" hidden="false" customHeight="false" outlineLevel="0" collapsed="false">
      <c r="A247" s="14" t="s">
        <v>2374</v>
      </c>
      <c r="B247" s="14" t="s">
        <v>2375</v>
      </c>
      <c r="C247" s="14" t="s">
        <v>2376</v>
      </c>
      <c r="D247" s="14"/>
      <c r="E247" s="14" t="s">
        <v>9</v>
      </c>
      <c r="F247" s="14" t="s">
        <v>2377</v>
      </c>
      <c r="G247" s="15" t="s">
        <v>1675</v>
      </c>
      <c r="H247" s="14" t="s">
        <v>1629</v>
      </c>
      <c r="I247" s="14" t="s">
        <v>210</v>
      </c>
      <c r="J247" s="14" t="s">
        <v>8</v>
      </c>
      <c r="K247" s="14" t="s">
        <v>61</v>
      </c>
      <c r="L247" s="15" t="s">
        <v>91</v>
      </c>
      <c r="M247" s="14" t="s">
        <v>2378</v>
      </c>
      <c r="N247" s="16" t="s">
        <v>2379</v>
      </c>
      <c r="O247" s="15"/>
      <c r="P247" s="15" t="n">
        <v>2008</v>
      </c>
      <c r="Q247" s="15" t="n">
        <f aca="false">IFERROR(VLOOKUP(J247,Parametros!$A$5:$B$9,2,FALSE()),0)</f>
        <v>3</v>
      </c>
      <c r="R247" s="15" t="n">
        <f aca="false">IFERROR(VLOOKUP(H247,Parametros!$D$5:$E$23,2,FALSE()),1)</f>
        <v>2</v>
      </c>
      <c r="S247" s="15" t="n">
        <f aca="false">IF(OR(N(O247)&gt;=Parametros!$H$9,AND(N(P247)&gt;0,N(P247)&lt;=Parametros!$H$10)),1,0)</f>
        <v>0</v>
      </c>
      <c r="T247" s="15" t="n">
        <f aca="false">Q247+R247+S247</f>
        <v>5</v>
      </c>
      <c r="U247" s="15" t="str">
        <f aca="false">IF(OR(V247="Inactive",V247="No encontrada",V247="Duplicado"),"Descartada",IF(AND(T247&gt;=Parametros!$H$5,S247=1),"A",IF(T247&gt;=Parametros!$H$6,"B","C")))</f>
        <v>B</v>
      </c>
      <c r="V247" s="17" t="s">
        <v>94</v>
      </c>
      <c r="W247" s="17"/>
      <c r="X247" s="14" t="s">
        <v>2380</v>
      </c>
      <c r="Y247" s="14" t="s">
        <v>2381</v>
      </c>
      <c r="Z247" s="14"/>
      <c r="AA247" s="14"/>
      <c r="AB247" s="14"/>
      <c r="AC247" s="14"/>
      <c r="AD247" s="16" t="s">
        <v>2382</v>
      </c>
      <c r="AE247" s="16" t="s">
        <v>2383</v>
      </c>
      <c r="AF247" s="14"/>
      <c r="AG247" s="14" t="s">
        <v>100</v>
      </c>
      <c r="AH247" s="14" t="s">
        <v>83</v>
      </c>
    </row>
    <row r="248" customFormat="false" ht="15" hidden="false" customHeight="false" outlineLevel="0" collapsed="false">
      <c r="A248" s="14" t="s">
        <v>2384</v>
      </c>
      <c r="B248" s="14" t="s">
        <v>2385</v>
      </c>
      <c r="C248" s="14" t="s">
        <v>494</v>
      </c>
      <c r="D248" s="14" t="s">
        <v>2386</v>
      </c>
      <c r="E248" s="14" t="s">
        <v>6</v>
      </c>
      <c r="F248" s="14" t="s">
        <v>2387</v>
      </c>
      <c r="G248" s="15" t="s">
        <v>1675</v>
      </c>
      <c r="H248" s="14" t="s">
        <v>1629</v>
      </c>
      <c r="I248" s="14" t="s">
        <v>72</v>
      </c>
      <c r="J248" s="14" t="s">
        <v>199</v>
      </c>
      <c r="K248" s="14" t="s">
        <v>61</v>
      </c>
      <c r="L248" s="15" t="s">
        <v>91</v>
      </c>
      <c r="M248" s="14" t="s">
        <v>2388</v>
      </c>
      <c r="N248" s="16" t="s">
        <v>2389</v>
      </c>
      <c r="O248" s="15"/>
      <c r="P248" s="15" t="n">
        <v>1979</v>
      </c>
      <c r="Q248" s="15" t="n">
        <f aca="false">IFERROR(VLOOKUP(J248,Parametros!$A$5:$B$9,2,FALSE()),0)</f>
        <v>1</v>
      </c>
      <c r="R248" s="15" t="n">
        <f aca="false">IFERROR(VLOOKUP(H248,Parametros!$D$5:$E$23,2,FALSE()),1)</f>
        <v>2</v>
      </c>
      <c r="S248" s="15" t="n">
        <f aca="false">IF(OR(N(O248)&gt;=Parametros!$H$9,AND(N(P248)&gt;0,N(P248)&lt;=Parametros!$H$10)),1,0)</f>
        <v>1</v>
      </c>
      <c r="T248" s="15" t="n">
        <f aca="false">Q248+R248+S248</f>
        <v>4</v>
      </c>
      <c r="U248" s="15" t="str">
        <f aca="false">IF(OR(V248="Inactive",V248="No encontrada",V248="Duplicado"),"Descartada",IF(AND(T248&gt;=Parametros!$H$5,S248=1),"A",IF(T248&gt;=Parametros!$H$6,"B","C")))</f>
        <v>B</v>
      </c>
      <c r="V248" s="17" t="s">
        <v>94</v>
      </c>
      <c r="W248" s="17"/>
      <c r="X248" s="14" t="s">
        <v>2390</v>
      </c>
      <c r="Y248" s="14" t="s">
        <v>2391</v>
      </c>
      <c r="Z248" s="14" t="s">
        <v>2392</v>
      </c>
      <c r="AA248" s="14"/>
      <c r="AB248" s="14"/>
      <c r="AC248" s="14"/>
      <c r="AD248" s="16" t="s">
        <v>2393</v>
      </c>
      <c r="AE248" s="16" t="s">
        <v>2393</v>
      </c>
      <c r="AF248" s="14"/>
      <c r="AG248" s="14"/>
      <c r="AH248" s="14" t="s">
        <v>83</v>
      </c>
    </row>
    <row r="249" customFormat="false" ht="15" hidden="false" customHeight="false" outlineLevel="0" collapsed="false">
      <c r="A249" s="14" t="s">
        <v>2394</v>
      </c>
      <c r="B249" s="14" t="s">
        <v>2395</v>
      </c>
      <c r="C249" s="14" t="s">
        <v>1827</v>
      </c>
      <c r="D249" s="14"/>
      <c r="E249" s="14" t="s">
        <v>9</v>
      </c>
      <c r="F249" s="14" t="s">
        <v>2396</v>
      </c>
      <c r="G249" s="15" t="s">
        <v>224</v>
      </c>
      <c r="H249" s="14" t="s">
        <v>225</v>
      </c>
      <c r="I249" s="14" t="s">
        <v>210</v>
      </c>
      <c r="J249" s="14" t="s">
        <v>8</v>
      </c>
      <c r="K249" s="14" t="s">
        <v>61</v>
      </c>
      <c r="L249" s="15" t="s">
        <v>91</v>
      </c>
      <c r="M249" s="14" t="s">
        <v>2397</v>
      </c>
      <c r="N249" s="16" t="s">
        <v>2398</v>
      </c>
      <c r="O249" s="15"/>
      <c r="P249" s="15" t="n">
        <v>1997</v>
      </c>
      <c r="Q249" s="15" t="n">
        <f aca="false">IFERROR(VLOOKUP(J249,Parametros!$A$5:$B$9,2,FALSE()),0)</f>
        <v>3</v>
      </c>
      <c r="R249" s="15" t="n">
        <f aca="false">IFERROR(VLOOKUP(H249,Parametros!$D$5:$E$23,2,FALSE()),1)</f>
        <v>2</v>
      </c>
      <c r="S249" s="15" t="n">
        <f aca="false">IF(OR(N(O249)&gt;=Parametros!$H$9,AND(N(P249)&gt;0,N(P249)&lt;=Parametros!$H$10)),1,0)</f>
        <v>1</v>
      </c>
      <c r="T249" s="15" t="n">
        <f aca="false">Q249+R249+S249</f>
        <v>6</v>
      </c>
      <c r="U249" s="15" t="str">
        <f aca="false">IF(OR(V249="Inactive",V249="No encontrada",V249="Duplicado"),"Descartada",IF(AND(T249&gt;=Parametros!$H$5,S249=1),"A",IF(T249&gt;=Parametros!$H$6,"B","C")))</f>
        <v>A</v>
      </c>
      <c r="V249" s="17" t="s">
        <v>94</v>
      </c>
      <c r="W249" s="17"/>
      <c r="X249" s="14" t="s">
        <v>2399</v>
      </c>
      <c r="Y249" s="14" t="s">
        <v>2400</v>
      </c>
      <c r="Z249" s="14"/>
      <c r="AA249" s="14"/>
      <c r="AB249" s="14"/>
      <c r="AC249" s="14"/>
      <c r="AD249" s="16" t="s">
        <v>2401</v>
      </c>
      <c r="AE249" s="16" t="s">
        <v>2402</v>
      </c>
      <c r="AF249" s="14"/>
      <c r="AG249" s="14" t="s">
        <v>100</v>
      </c>
      <c r="AH249" s="14" t="s">
        <v>83</v>
      </c>
    </row>
    <row r="250" customFormat="false" ht="15" hidden="false" customHeight="false" outlineLevel="0" collapsed="false">
      <c r="A250" s="14" t="s">
        <v>2403</v>
      </c>
      <c r="B250" s="14" t="s">
        <v>2404</v>
      </c>
      <c r="C250" s="14" t="s">
        <v>420</v>
      </c>
      <c r="D250" s="14"/>
      <c r="E250" s="14" t="s">
        <v>6</v>
      </c>
      <c r="F250" s="14" t="s">
        <v>2405</v>
      </c>
      <c r="G250" s="15" t="s">
        <v>1675</v>
      </c>
      <c r="H250" s="14" t="s">
        <v>1629</v>
      </c>
      <c r="I250" s="14" t="s">
        <v>72</v>
      </c>
      <c r="J250" s="14" t="s">
        <v>235</v>
      </c>
      <c r="K250" s="14" t="s">
        <v>61</v>
      </c>
      <c r="L250" s="15" t="s">
        <v>91</v>
      </c>
      <c r="M250" s="14" t="s">
        <v>2406</v>
      </c>
      <c r="N250" s="16" t="s">
        <v>2407</v>
      </c>
      <c r="O250" s="15"/>
      <c r="P250" s="15"/>
      <c r="Q250" s="15" t="n">
        <f aca="false">IFERROR(VLOOKUP(J250,Parametros!$A$5:$B$9,2,FALSE()),0)</f>
        <v>2</v>
      </c>
      <c r="R250" s="15" t="n">
        <f aca="false">IFERROR(VLOOKUP(H250,Parametros!$D$5:$E$23,2,FALSE()),1)</f>
        <v>2</v>
      </c>
      <c r="S250" s="15" t="n">
        <f aca="false">IF(OR(N(O250)&gt;=Parametros!$H$9,AND(N(P250)&gt;0,N(P250)&lt;=Parametros!$H$10)),1,0)</f>
        <v>0</v>
      </c>
      <c r="T250" s="15" t="n">
        <f aca="false">Q250+R250+S250</f>
        <v>4</v>
      </c>
      <c r="U250" s="15" t="str">
        <f aca="false">IF(OR(V250="Inactive",V250="No encontrada",V250="Duplicado"),"Descartada",IF(AND(T250&gt;=Parametros!$H$5,S250=1),"A",IF(T250&gt;=Parametros!$H$6,"B","C")))</f>
        <v>B</v>
      </c>
      <c r="V250" s="17" t="s">
        <v>94</v>
      </c>
      <c r="W250" s="17"/>
      <c r="X250" s="14" t="s">
        <v>2408</v>
      </c>
      <c r="Y250" s="14" t="s">
        <v>2409</v>
      </c>
      <c r="Z250" s="14" t="s">
        <v>2410</v>
      </c>
      <c r="AA250" s="14"/>
      <c r="AB250" s="14"/>
      <c r="AC250" s="14"/>
      <c r="AD250" s="16" t="s">
        <v>2407</v>
      </c>
      <c r="AE250" s="16" t="s">
        <v>2411</v>
      </c>
      <c r="AF250" s="14"/>
      <c r="AG250" s="14" t="s">
        <v>1234</v>
      </c>
      <c r="AH250" s="14" t="s">
        <v>83</v>
      </c>
    </row>
    <row r="251" customFormat="false" ht="23.85" hidden="false" customHeight="false" outlineLevel="0" collapsed="false">
      <c r="A251" s="14" t="s">
        <v>2412</v>
      </c>
      <c r="B251" s="14" t="s">
        <v>2413</v>
      </c>
      <c r="C251" s="14" t="s">
        <v>658</v>
      </c>
      <c r="D251" s="14"/>
      <c r="E251" s="14" t="s">
        <v>6</v>
      </c>
      <c r="F251" s="14" t="s">
        <v>2414</v>
      </c>
      <c r="G251" s="15" t="s">
        <v>224</v>
      </c>
      <c r="H251" s="14" t="s">
        <v>225</v>
      </c>
      <c r="I251" s="14" t="s">
        <v>210</v>
      </c>
      <c r="J251" s="14" t="s">
        <v>8</v>
      </c>
      <c r="K251" s="14" t="s">
        <v>90</v>
      </c>
      <c r="L251" s="15" t="s">
        <v>91</v>
      </c>
      <c r="M251" s="14" t="s">
        <v>2415</v>
      </c>
      <c r="N251" s="16" t="s">
        <v>2416</v>
      </c>
      <c r="O251" s="15"/>
      <c r="P251" s="15" t="n">
        <v>2007</v>
      </c>
      <c r="Q251" s="15" t="n">
        <f aca="false">IFERROR(VLOOKUP(J251,Parametros!$A$5:$B$9,2,FALSE()),0)</f>
        <v>3</v>
      </c>
      <c r="R251" s="15" t="n">
        <f aca="false">IFERROR(VLOOKUP(H251,Parametros!$D$5:$E$23,2,FALSE()),1)</f>
        <v>2</v>
      </c>
      <c r="S251" s="15" t="n">
        <f aca="false">IF(OR(N(O251)&gt;=Parametros!$H$9,AND(N(P251)&gt;0,N(P251)&lt;=Parametros!$H$10)),1,0)</f>
        <v>0</v>
      </c>
      <c r="T251" s="15" t="n">
        <f aca="false">Q251+R251+S251</f>
        <v>5</v>
      </c>
      <c r="U251" s="15" t="str">
        <f aca="false">IF(OR(V251="Inactive",V251="No encontrada",V251="Duplicado"),"Descartada",IF(AND(T251&gt;=Parametros!$H$5,S251=1),"A",IF(T251&gt;=Parametros!$H$6,"B","C")))</f>
        <v>B</v>
      </c>
      <c r="V251" s="17" t="s">
        <v>94</v>
      </c>
      <c r="W251" s="17"/>
      <c r="X251" s="14" t="s">
        <v>2417</v>
      </c>
      <c r="Y251" s="14" t="s">
        <v>2418</v>
      </c>
      <c r="Z251" s="14"/>
      <c r="AA251" s="16" t="s">
        <v>2419</v>
      </c>
      <c r="AB251" s="14"/>
      <c r="AC251" s="14"/>
      <c r="AD251" s="16" t="s">
        <v>2416</v>
      </c>
      <c r="AE251" s="16" t="s">
        <v>2420</v>
      </c>
      <c r="AF251" s="14"/>
      <c r="AG251" s="14" t="s">
        <v>100</v>
      </c>
      <c r="AH251" s="14" t="s">
        <v>83</v>
      </c>
    </row>
    <row r="252" customFormat="false" ht="15" hidden="false" customHeight="false" outlineLevel="0" collapsed="false">
      <c r="A252" s="14" t="s">
        <v>2421</v>
      </c>
      <c r="B252" s="14" t="s">
        <v>2422</v>
      </c>
      <c r="C252" s="14" t="s">
        <v>658</v>
      </c>
      <c r="D252" s="14"/>
      <c r="E252" s="14" t="s">
        <v>6</v>
      </c>
      <c r="F252" s="14" t="s">
        <v>2423</v>
      </c>
      <c r="G252" s="15" t="s">
        <v>224</v>
      </c>
      <c r="H252" s="14" t="s">
        <v>225</v>
      </c>
      <c r="I252" s="14" t="s">
        <v>210</v>
      </c>
      <c r="J252" s="14" t="s">
        <v>235</v>
      </c>
      <c r="K252" s="14" t="s">
        <v>1226</v>
      </c>
      <c r="L252" s="15" t="s">
        <v>91</v>
      </c>
      <c r="M252" s="14" t="s">
        <v>2424</v>
      </c>
      <c r="N252" s="16" t="s">
        <v>2425</v>
      </c>
      <c r="O252" s="15"/>
      <c r="P252" s="15"/>
      <c r="Q252" s="15" t="n">
        <f aca="false">IFERROR(VLOOKUP(J252,Parametros!$A$5:$B$9,2,FALSE()),0)</f>
        <v>2</v>
      </c>
      <c r="R252" s="15" t="n">
        <f aca="false">IFERROR(VLOOKUP(H252,Parametros!$D$5:$E$23,2,FALSE()),1)</f>
        <v>2</v>
      </c>
      <c r="S252" s="15" t="n">
        <f aca="false">IF(OR(N(O252)&gt;=Parametros!$H$9,AND(N(P252)&gt;0,N(P252)&lt;=Parametros!$H$10)),1,0)</f>
        <v>0</v>
      </c>
      <c r="T252" s="15" t="n">
        <f aca="false">Q252+R252+S252</f>
        <v>4</v>
      </c>
      <c r="U252" s="15" t="str">
        <f aca="false">IF(OR(V252="Inactive",V252="No encontrada",V252="Duplicado"),"Descartada",IF(AND(T252&gt;=Parametros!$H$5,S252=1),"A",IF(T252&gt;=Parametros!$H$6,"B","C")))</f>
        <v>B</v>
      </c>
      <c r="V252" s="17" t="s">
        <v>94</v>
      </c>
      <c r="W252" s="17"/>
      <c r="X252" s="14" t="s">
        <v>2426</v>
      </c>
      <c r="Y252" s="14" t="s">
        <v>2427</v>
      </c>
      <c r="Z252" s="14"/>
      <c r="AA252" s="14"/>
      <c r="AB252" s="16" t="s">
        <v>2428</v>
      </c>
      <c r="AC252" s="14"/>
      <c r="AD252" s="16" t="s">
        <v>2425</v>
      </c>
      <c r="AE252" s="16" t="s">
        <v>2429</v>
      </c>
      <c r="AF252" s="14"/>
      <c r="AG252" s="14" t="s">
        <v>1196</v>
      </c>
      <c r="AH252" s="14" t="s">
        <v>83</v>
      </c>
    </row>
    <row r="253" customFormat="false" ht="15" hidden="false" customHeight="false" outlineLevel="0" collapsed="false">
      <c r="A253" s="14" t="s">
        <v>2430</v>
      </c>
      <c r="B253" s="14" t="s">
        <v>2431</v>
      </c>
      <c r="C253" s="14" t="s">
        <v>1025</v>
      </c>
      <c r="D253" s="14"/>
      <c r="E253" s="14" t="s">
        <v>9</v>
      </c>
      <c r="F253" s="14" t="s">
        <v>2432</v>
      </c>
      <c r="G253" s="15" t="s">
        <v>224</v>
      </c>
      <c r="H253" s="14" t="s">
        <v>225</v>
      </c>
      <c r="I253" s="14" t="s">
        <v>210</v>
      </c>
      <c r="J253" s="14" t="s">
        <v>8</v>
      </c>
      <c r="K253" s="14" t="s">
        <v>61</v>
      </c>
      <c r="L253" s="15" t="s">
        <v>91</v>
      </c>
      <c r="M253" s="14" t="s">
        <v>2433</v>
      </c>
      <c r="N253" s="16" t="s">
        <v>2434</v>
      </c>
      <c r="O253" s="15"/>
      <c r="P253" s="15"/>
      <c r="Q253" s="15" t="n">
        <f aca="false">IFERROR(VLOOKUP(J253,Parametros!$A$5:$B$9,2,FALSE()),0)</f>
        <v>3</v>
      </c>
      <c r="R253" s="15" t="n">
        <f aca="false">IFERROR(VLOOKUP(H253,Parametros!$D$5:$E$23,2,FALSE()),1)</f>
        <v>2</v>
      </c>
      <c r="S253" s="15" t="n">
        <f aca="false">IF(OR(N(O253)&gt;=Parametros!$H$9,AND(N(P253)&gt;0,N(P253)&lt;=Parametros!$H$10)),1,0)</f>
        <v>0</v>
      </c>
      <c r="T253" s="15" t="n">
        <f aca="false">Q253+R253+S253</f>
        <v>5</v>
      </c>
      <c r="U253" s="15" t="str">
        <f aca="false">IF(OR(V253="Inactive",V253="No encontrada",V253="Duplicado"),"Descartada",IF(AND(T253&gt;=Parametros!$H$5,S253=1),"A",IF(T253&gt;=Parametros!$H$6,"B","C")))</f>
        <v>B</v>
      </c>
      <c r="V253" s="17" t="s">
        <v>94</v>
      </c>
      <c r="W253" s="17"/>
      <c r="X253" s="14"/>
      <c r="Y253" s="14" t="s">
        <v>2435</v>
      </c>
      <c r="Z253" s="14"/>
      <c r="AA253" s="14"/>
      <c r="AB253" s="14"/>
      <c r="AC253" s="14"/>
      <c r="AD253" s="16" t="s">
        <v>2436</v>
      </c>
      <c r="AE253" s="16" t="s">
        <v>2437</v>
      </c>
      <c r="AF253" s="14"/>
      <c r="AG253" s="14" t="s">
        <v>925</v>
      </c>
      <c r="AH253" s="14" t="s">
        <v>83</v>
      </c>
    </row>
    <row r="254" customFormat="false" ht="15" hidden="false" customHeight="false" outlineLevel="0" collapsed="false">
      <c r="A254" s="14" t="s">
        <v>2438</v>
      </c>
      <c r="B254" s="14" t="s">
        <v>2439</v>
      </c>
      <c r="C254" s="14" t="s">
        <v>2376</v>
      </c>
      <c r="D254" s="14"/>
      <c r="E254" s="14" t="s">
        <v>9</v>
      </c>
      <c r="F254" s="14" t="s">
        <v>2440</v>
      </c>
      <c r="G254" s="15" t="s">
        <v>1675</v>
      </c>
      <c r="H254" s="14" t="s">
        <v>1629</v>
      </c>
      <c r="I254" s="14" t="s">
        <v>210</v>
      </c>
      <c r="J254" s="14" t="s">
        <v>235</v>
      </c>
      <c r="K254" s="14" t="s">
        <v>90</v>
      </c>
      <c r="L254" s="15" t="s">
        <v>91</v>
      </c>
      <c r="M254" s="14" t="s">
        <v>2441</v>
      </c>
      <c r="N254" s="16" t="s">
        <v>2442</v>
      </c>
      <c r="O254" s="15"/>
      <c r="P254" s="15"/>
      <c r="Q254" s="15" t="n">
        <f aca="false">IFERROR(VLOOKUP(J254,Parametros!$A$5:$B$9,2,FALSE()),0)</f>
        <v>2</v>
      </c>
      <c r="R254" s="15" t="n">
        <f aca="false">IFERROR(VLOOKUP(H254,Parametros!$D$5:$E$23,2,FALSE()),1)</f>
        <v>2</v>
      </c>
      <c r="S254" s="15" t="n">
        <f aca="false">IF(OR(N(O254)&gt;=Parametros!$H$9,AND(N(P254)&gt;0,N(P254)&lt;=Parametros!$H$10)),1,0)</f>
        <v>0</v>
      </c>
      <c r="T254" s="15" t="n">
        <f aca="false">Q254+R254+S254</f>
        <v>4</v>
      </c>
      <c r="U254" s="15" t="str">
        <f aca="false">IF(OR(V254="Inactive",V254="No encontrada",V254="Duplicado"),"Descartada",IF(AND(T254&gt;=Parametros!$H$5,S254=1),"A",IF(T254&gt;=Parametros!$H$6,"B","C")))</f>
        <v>B</v>
      </c>
      <c r="V254" s="17" t="s">
        <v>94</v>
      </c>
      <c r="W254" s="17"/>
      <c r="X254" s="14" t="s">
        <v>2443</v>
      </c>
      <c r="Y254" s="14" t="s">
        <v>2444</v>
      </c>
      <c r="Z254" s="14" t="s">
        <v>2445</v>
      </c>
      <c r="AA254" s="16" t="s">
        <v>2446</v>
      </c>
      <c r="AB254" s="14"/>
      <c r="AC254" s="14"/>
      <c r="AD254" s="16" t="s">
        <v>2442</v>
      </c>
      <c r="AE254" s="16" t="s">
        <v>2447</v>
      </c>
      <c r="AF254" s="14"/>
      <c r="AG254" s="14"/>
      <c r="AH254" s="14" t="s">
        <v>83</v>
      </c>
    </row>
    <row r="255" customFormat="false" ht="15" hidden="false" customHeight="false" outlineLevel="0" collapsed="false">
      <c r="A255" s="14" t="s">
        <v>2448</v>
      </c>
      <c r="B255" s="14" t="s">
        <v>2449</v>
      </c>
      <c r="C255" s="14" t="s">
        <v>1827</v>
      </c>
      <c r="D255" s="14"/>
      <c r="E255" s="14" t="s">
        <v>9</v>
      </c>
      <c r="F255" s="14" t="s">
        <v>2450</v>
      </c>
      <c r="G255" s="15" t="s">
        <v>224</v>
      </c>
      <c r="H255" s="14" t="s">
        <v>225</v>
      </c>
      <c r="I255" s="14" t="s">
        <v>210</v>
      </c>
      <c r="J255" s="14" t="s">
        <v>199</v>
      </c>
      <c r="K255" s="14" t="s">
        <v>61</v>
      </c>
      <c r="L255" s="15" t="s">
        <v>91</v>
      </c>
      <c r="M255" s="14" t="s">
        <v>2451</v>
      </c>
      <c r="N255" s="16" t="s">
        <v>2452</v>
      </c>
      <c r="O255" s="15"/>
      <c r="P255" s="15" t="n">
        <v>2000</v>
      </c>
      <c r="Q255" s="15" t="n">
        <f aca="false">IFERROR(VLOOKUP(J255,Parametros!$A$5:$B$9,2,FALSE()),0)</f>
        <v>1</v>
      </c>
      <c r="R255" s="15" t="n">
        <f aca="false">IFERROR(VLOOKUP(H255,Parametros!$D$5:$E$23,2,FALSE()),1)</f>
        <v>2</v>
      </c>
      <c r="S255" s="15" t="n">
        <f aca="false">IF(OR(N(O255)&gt;=Parametros!$H$9,AND(N(P255)&gt;0,N(P255)&lt;=Parametros!$H$10)),1,0)</f>
        <v>1</v>
      </c>
      <c r="T255" s="15" t="n">
        <f aca="false">Q255+R255+S255</f>
        <v>4</v>
      </c>
      <c r="U255" s="15" t="str">
        <f aca="false">IF(OR(V255="Inactive",V255="No encontrada",V255="Duplicado"),"Descartada",IF(AND(T255&gt;=Parametros!$H$5,S255=1),"A",IF(T255&gt;=Parametros!$H$6,"B","C")))</f>
        <v>B</v>
      </c>
      <c r="V255" s="17" t="s">
        <v>94</v>
      </c>
      <c r="W255" s="17"/>
      <c r="X255" s="14" t="s">
        <v>2453</v>
      </c>
      <c r="Y255" s="14" t="s">
        <v>2454</v>
      </c>
      <c r="Z255" s="14" t="s">
        <v>2455</v>
      </c>
      <c r="AA255" s="14"/>
      <c r="AB255" s="14"/>
      <c r="AC255" s="14"/>
      <c r="AD255" s="16" t="s">
        <v>2456</v>
      </c>
      <c r="AE255" s="16" t="s">
        <v>2456</v>
      </c>
      <c r="AF255" s="14"/>
      <c r="AG255" s="14"/>
      <c r="AH255" s="14" t="s">
        <v>83</v>
      </c>
    </row>
    <row r="256" customFormat="false" ht="23.85" hidden="false" customHeight="false" outlineLevel="0" collapsed="false">
      <c r="A256" s="14" t="s">
        <v>2457</v>
      </c>
      <c r="B256" s="14" t="s">
        <v>2458</v>
      </c>
      <c r="C256" s="14" t="s">
        <v>1876</v>
      </c>
      <c r="D256" s="14"/>
      <c r="E256" s="14" t="s">
        <v>6</v>
      </c>
      <c r="F256" s="14" t="s">
        <v>2459</v>
      </c>
      <c r="G256" s="15" t="s">
        <v>1675</v>
      </c>
      <c r="H256" s="14" t="s">
        <v>1629</v>
      </c>
      <c r="I256" s="14" t="s">
        <v>210</v>
      </c>
      <c r="J256" s="14" t="s">
        <v>210</v>
      </c>
      <c r="K256" s="14" t="s">
        <v>61</v>
      </c>
      <c r="L256" s="15" t="s">
        <v>91</v>
      </c>
      <c r="M256" s="14" t="s">
        <v>2460</v>
      </c>
      <c r="N256" s="16" t="s">
        <v>2461</v>
      </c>
      <c r="O256" s="15"/>
      <c r="P256" s="15"/>
      <c r="Q256" s="15" t="n">
        <f aca="false">IFERROR(VLOOKUP(J256,Parametros!$A$5:$B$9,2,FALSE()),0)</f>
        <v>1</v>
      </c>
      <c r="R256" s="15" t="n">
        <f aca="false">IFERROR(VLOOKUP(H256,Parametros!$D$5:$E$23,2,FALSE()),1)</f>
        <v>2</v>
      </c>
      <c r="S256" s="15" t="n">
        <f aca="false">IF(OR(N(O256)&gt;=Parametros!$H$9,AND(N(P256)&gt;0,N(P256)&lt;=Parametros!$H$10)),1,0)</f>
        <v>0</v>
      </c>
      <c r="T256" s="15" t="n">
        <f aca="false">Q256+R256+S256</f>
        <v>3</v>
      </c>
      <c r="U256" s="15" t="str">
        <f aca="false">IF(OR(V256="Inactive",V256="No encontrada",V256="Duplicado"),"Descartada",IF(AND(T256&gt;=Parametros!$H$5,S256=1),"A",IF(T256&gt;=Parametros!$H$6,"B","C")))</f>
        <v>C</v>
      </c>
      <c r="V256" s="17" t="s">
        <v>94</v>
      </c>
      <c r="W256" s="17"/>
      <c r="X256" s="14" t="s">
        <v>2462</v>
      </c>
      <c r="Y256" s="14"/>
      <c r="Z256" s="14"/>
      <c r="AA256" s="14"/>
      <c r="AB256" s="14"/>
      <c r="AC256" s="14"/>
      <c r="AD256" s="16" t="s">
        <v>2461</v>
      </c>
      <c r="AE256" s="16" t="s">
        <v>2461</v>
      </c>
      <c r="AF256" s="14"/>
      <c r="AG256" s="14" t="s">
        <v>2463</v>
      </c>
      <c r="AH256" s="14" t="s">
        <v>83</v>
      </c>
    </row>
    <row r="257" customFormat="false" ht="15" hidden="false" customHeight="false" outlineLevel="0" collapsed="false">
      <c r="A257" s="14" t="s">
        <v>2464</v>
      </c>
      <c r="B257" s="14" t="s">
        <v>2465</v>
      </c>
      <c r="C257" s="14" t="s">
        <v>420</v>
      </c>
      <c r="D257" s="14"/>
      <c r="E257" s="14" t="s">
        <v>6</v>
      </c>
      <c r="F257" s="14" t="s">
        <v>2466</v>
      </c>
      <c r="G257" s="15" t="s">
        <v>1675</v>
      </c>
      <c r="H257" s="14" t="s">
        <v>1629</v>
      </c>
      <c r="I257" s="14" t="s">
        <v>210</v>
      </c>
      <c r="J257" s="14" t="s">
        <v>235</v>
      </c>
      <c r="K257" s="14" t="s">
        <v>61</v>
      </c>
      <c r="L257" s="15" t="s">
        <v>91</v>
      </c>
      <c r="M257" s="14" t="s">
        <v>2467</v>
      </c>
      <c r="N257" s="16" t="s">
        <v>2468</v>
      </c>
      <c r="O257" s="15"/>
      <c r="P257" s="15" t="n">
        <v>1983</v>
      </c>
      <c r="Q257" s="15" t="n">
        <f aca="false">IFERROR(VLOOKUP(J257,Parametros!$A$5:$B$9,2,FALSE()),0)</f>
        <v>2</v>
      </c>
      <c r="R257" s="15" t="n">
        <f aca="false">IFERROR(VLOOKUP(H257,Parametros!$D$5:$E$23,2,FALSE()),1)</f>
        <v>2</v>
      </c>
      <c r="S257" s="15" t="n">
        <f aca="false">IF(OR(N(O257)&gt;=Parametros!$H$9,AND(N(P257)&gt;0,N(P257)&lt;=Parametros!$H$10)),1,0)</f>
        <v>1</v>
      </c>
      <c r="T257" s="15" t="n">
        <f aca="false">Q257+R257+S257</f>
        <v>5</v>
      </c>
      <c r="U257" s="15" t="str">
        <f aca="false">IF(OR(V257="Inactive",V257="No encontrada",V257="Duplicado"),"Descartada",IF(AND(T257&gt;=Parametros!$H$5,S257=1),"A",IF(T257&gt;=Parametros!$H$6,"B","C")))</f>
        <v>B</v>
      </c>
      <c r="V257" s="17" t="s">
        <v>94</v>
      </c>
      <c r="W257" s="17"/>
      <c r="X257" s="14" t="s">
        <v>2469</v>
      </c>
      <c r="Y257" s="14"/>
      <c r="Z257" s="14" t="s">
        <v>2470</v>
      </c>
      <c r="AA257" s="14"/>
      <c r="AB257" s="14"/>
      <c r="AC257" s="14"/>
      <c r="AD257" s="16" t="s">
        <v>2471</v>
      </c>
      <c r="AE257" s="16" t="s">
        <v>2468</v>
      </c>
      <c r="AF257" s="14"/>
      <c r="AG257" s="14" t="s">
        <v>1947</v>
      </c>
      <c r="AH257" s="14" t="s">
        <v>83</v>
      </c>
    </row>
    <row r="258" customFormat="false" ht="15" hidden="false" customHeight="false" outlineLevel="0" collapsed="false">
      <c r="A258" s="14" t="s">
        <v>2472</v>
      </c>
      <c r="B258" s="14" t="s">
        <v>2473</v>
      </c>
      <c r="C258" s="14" t="s">
        <v>658</v>
      </c>
      <c r="D258" s="14"/>
      <c r="E258" s="14" t="s">
        <v>6</v>
      </c>
      <c r="F258" s="14" t="s">
        <v>2474</v>
      </c>
      <c r="G258" s="15" t="s">
        <v>224</v>
      </c>
      <c r="H258" s="14" t="s">
        <v>225</v>
      </c>
      <c r="I258" s="14" t="s">
        <v>210</v>
      </c>
      <c r="J258" s="14" t="s">
        <v>210</v>
      </c>
      <c r="K258" s="14" t="s">
        <v>61</v>
      </c>
      <c r="L258" s="15" t="s">
        <v>91</v>
      </c>
      <c r="M258" s="14" t="s">
        <v>2475</v>
      </c>
      <c r="N258" s="16" t="s">
        <v>2476</v>
      </c>
      <c r="O258" s="15"/>
      <c r="P258" s="15" t="n">
        <v>2008</v>
      </c>
      <c r="Q258" s="15" t="n">
        <f aca="false">IFERROR(VLOOKUP(J258,Parametros!$A$5:$B$9,2,FALSE()),0)</f>
        <v>1</v>
      </c>
      <c r="R258" s="15" t="n">
        <f aca="false">IFERROR(VLOOKUP(H258,Parametros!$D$5:$E$23,2,FALSE()),1)</f>
        <v>2</v>
      </c>
      <c r="S258" s="15" t="n">
        <f aca="false">IF(OR(N(O258)&gt;=Parametros!$H$9,AND(N(P258)&gt;0,N(P258)&lt;=Parametros!$H$10)),1,0)</f>
        <v>0</v>
      </c>
      <c r="T258" s="15" t="n">
        <f aca="false">Q258+R258+S258</f>
        <v>3</v>
      </c>
      <c r="U258" s="15" t="str">
        <f aca="false">IF(OR(V258="Inactive",V258="No encontrada",V258="Duplicado"),"Descartada",IF(AND(T258&gt;=Parametros!$H$5,S258=1),"A",IF(T258&gt;=Parametros!$H$6,"B","C")))</f>
        <v>C</v>
      </c>
      <c r="V258" s="17" t="s">
        <v>94</v>
      </c>
      <c r="W258" s="17"/>
      <c r="X258" s="14" t="s">
        <v>2477</v>
      </c>
      <c r="Y258" s="14"/>
      <c r="Z258" s="14"/>
      <c r="AA258" s="14"/>
      <c r="AB258" s="14"/>
      <c r="AC258" s="14"/>
      <c r="AD258" s="16" t="s">
        <v>2476</v>
      </c>
      <c r="AE258" s="16" t="s">
        <v>2476</v>
      </c>
      <c r="AF258" s="14"/>
      <c r="AG258" s="14" t="s">
        <v>1947</v>
      </c>
      <c r="AH258" s="14" t="s">
        <v>83</v>
      </c>
    </row>
    <row r="259" customFormat="false" ht="15" hidden="false" customHeight="false" outlineLevel="0" collapsed="false">
      <c r="A259" s="14" t="s">
        <v>2478</v>
      </c>
      <c r="B259" s="14" t="s">
        <v>2479</v>
      </c>
      <c r="C259" s="14" t="s">
        <v>733</v>
      </c>
      <c r="D259" s="14"/>
      <c r="E259" s="14" t="s">
        <v>9</v>
      </c>
      <c r="F259" s="14" t="s">
        <v>2480</v>
      </c>
      <c r="G259" s="15" t="s">
        <v>70</v>
      </c>
      <c r="H259" s="14" t="s">
        <v>71</v>
      </c>
      <c r="I259" s="14" t="s">
        <v>72</v>
      </c>
      <c r="J259" s="14" t="s">
        <v>210</v>
      </c>
      <c r="K259" s="14" t="s">
        <v>73</v>
      </c>
      <c r="L259" s="15" t="s">
        <v>74</v>
      </c>
      <c r="M259" s="14" t="s">
        <v>2481</v>
      </c>
      <c r="N259" s="16" t="s">
        <v>2482</v>
      </c>
      <c r="O259" s="15"/>
      <c r="P259" s="15" t="n">
        <v>2000</v>
      </c>
      <c r="Q259" s="15" t="n">
        <f aca="false">IFERROR(VLOOKUP(J259,Parametros!$A$5:$B$9,2,FALSE()),0)</f>
        <v>1</v>
      </c>
      <c r="R259" s="15" t="n">
        <f aca="false">IFERROR(VLOOKUP(H259,Parametros!$D$5:$E$23,2,FALSE()),1)</f>
        <v>2</v>
      </c>
      <c r="S259" s="15" t="n">
        <f aca="false">IF(OR(N(O259)&gt;=Parametros!$H$9,AND(N(P259)&gt;0,N(P259)&lt;=Parametros!$H$10)),1,0)</f>
        <v>1</v>
      </c>
      <c r="T259" s="15" t="n">
        <f aca="false">Q259+R259+S259</f>
        <v>4</v>
      </c>
      <c r="U259" s="15" t="str">
        <f aca="false">IF(OR(V259="Inactive",V259="No encontrada",V259="Duplicado"),"Descartada",IF(AND(T259&gt;=Parametros!$H$5,S259=1),"A",IF(T259&gt;=Parametros!$H$6,"B","C")))</f>
        <v>B</v>
      </c>
      <c r="V259" s="17" t="s">
        <v>94</v>
      </c>
      <c r="W259" s="17"/>
      <c r="X259" s="14"/>
      <c r="Y259" s="14"/>
      <c r="Z259" s="14"/>
      <c r="AA259" s="14"/>
      <c r="AB259" s="14"/>
      <c r="AC259" s="14"/>
      <c r="AD259" s="14"/>
      <c r="AE259" s="16" t="s">
        <v>2483</v>
      </c>
      <c r="AF259" s="14"/>
      <c r="AG259" s="14" t="s">
        <v>2484</v>
      </c>
      <c r="AH259" s="14" t="s">
        <v>83</v>
      </c>
    </row>
    <row r="260" customFormat="false" ht="23.85" hidden="false" customHeight="false" outlineLevel="0" collapsed="false">
      <c r="A260" s="14" t="s">
        <v>2485</v>
      </c>
      <c r="B260" s="14" t="s">
        <v>2486</v>
      </c>
      <c r="C260" s="14" t="s">
        <v>670</v>
      </c>
      <c r="D260" s="14"/>
      <c r="E260" s="14" t="s">
        <v>9</v>
      </c>
      <c r="F260" s="14" t="s">
        <v>2487</v>
      </c>
      <c r="G260" s="15" t="s">
        <v>1628</v>
      </c>
      <c r="H260" s="14" t="s">
        <v>1629</v>
      </c>
      <c r="I260" s="14" t="s">
        <v>89</v>
      </c>
      <c r="J260" s="14" t="s">
        <v>199</v>
      </c>
      <c r="K260" s="14" t="s">
        <v>90</v>
      </c>
      <c r="L260" s="15" t="s">
        <v>91</v>
      </c>
      <c r="M260" s="14" t="s">
        <v>2488</v>
      </c>
      <c r="N260" s="16" t="s">
        <v>2489</v>
      </c>
      <c r="O260" s="15"/>
      <c r="P260" s="15" t="n">
        <v>1963</v>
      </c>
      <c r="Q260" s="15" t="n">
        <f aca="false">IFERROR(VLOOKUP(J260,Parametros!$A$5:$B$9,2,FALSE()),0)</f>
        <v>1</v>
      </c>
      <c r="R260" s="15" t="n">
        <f aca="false">IFERROR(VLOOKUP(H260,Parametros!$D$5:$E$23,2,FALSE()),1)</f>
        <v>2</v>
      </c>
      <c r="S260" s="15" t="n">
        <f aca="false">IF(OR(N(O260)&gt;=Parametros!$H$9,AND(N(P260)&gt;0,N(P260)&lt;=Parametros!$H$10)),1,0)</f>
        <v>1</v>
      </c>
      <c r="T260" s="15" t="n">
        <f aca="false">Q260+R260+S260</f>
        <v>4</v>
      </c>
      <c r="U260" s="15" t="str">
        <f aca="false">IF(OR(V260="Inactive",V260="No encontrada",V260="Duplicado"),"Descartada",IF(AND(T260&gt;=Parametros!$H$5,S260=1),"A",IF(T260&gt;=Parametros!$H$6,"B","C")))</f>
        <v>B</v>
      </c>
      <c r="V260" s="17" t="s">
        <v>94</v>
      </c>
      <c r="W260" s="17"/>
      <c r="X260" s="14" t="s">
        <v>2490</v>
      </c>
      <c r="Y260" s="14" t="s">
        <v>2491</v>
      </c>
      <c r="Z260" s="14" t="s">
        <v>2492</v>
      </c>
      <c r="AA260" s="16" t="s">
        <v>2493</v>
      </c>
      <c r="AB260" s="14"/>
      <c r="AC260" s="14"/>
      <c r="AD260" s="16" t="s">
        <v>2489</v>
      </c>
      <c r="AE260" s="16" t="s">
        <v>2494</v>
      </c>
      <c r="AF260" s="14"/>
      <c r="AG260" s="14" t="s">
        <v>2495</v>
      </c>
      <c r="AH260" s="14" t="s">
        <v>1835</v>
      </c>
    </row>
    <row r="261" customFormat="false" ht="15" hidden="false" customHeight="false" outlineLevel="0" collapsed="false">
      <c r="A261" s="14" t="s">
        <v>2496</v>
      </c>
      <c r="B261" s="14" t="s">
        <v>2497</v>
      </c>
      <c r="C261" s="14" t="s">
        <v>955</v>
      </c>
      <c r="D261" s="14"/>
      <c r="E261" s="14" t="s">
        <v>6</v>
      </c>
      <c r="F261" s="14" t="s">
        <v>2498</v>
      </c>
      <c r="G261" s="15" t="s">
        <v>2499</v>
      </c>
      <c r="H261" s="14" t="s">
        <v>2500</v>
      </c>
      <c r="I261" s="14" t="s">
        <v>210</v>
      </c>
      <c r="J261" s="14" t="s">
        <v>199</v>
      </c>
      <c r="K261" s="14" t="s">
        <v>312</v>
      </c>
      <c r="L261" s="15" t="s">
        <v>91</v>
      </c>
      <c r="M261" s="14" t="s">
        <v>2501</v>
      </c>
      <c r="N261" s="16" t="s">
        <v>2502</v>
      </c>
      <c r="O261" s="15"/>
      <c r="P261" s="15" t="n">
        <v>1958</v>
      </c>
      <c r="Q261" s="15" t="n">
        <f aca="false">IFERROR(VLOOKUP(J261,Parametros!$A$5:$B$9,2,FALSE()),0)</f>
        <v>1</v>
      </c>
      <c r="R261" s="15" t="n">
        <f aca="false">IFERROR(VLOOKUP(H261,Parametros!$D$5:$E$23,2,FALSE()),1)</f>
        <v>2</v>
      </c>
      <c r="S261" s="15" t="n">
        <f aca="false">IF(OR(N(O261)&gt;=Parametros!$H$9,AND(N(P261)&gt;0,N(P261)&lt;=Parametros!$H$10)),1,0)</f>
        <v>1</v>
      </c>
      <c r="T261" s="15" t="n">
        <f aca="false">Q261+R261+S261</f>
        <v>4</v>
      </c>
      <c r="U261" s="15" t="str">
        <f aca="false">IF(OR(V261="Inactive",V261="No encontrada",V261="Duplicado"),"Descartada",IF(AND(T261&gt;=Parametros!$H$5,S261=1),"A",IF(T261&gt;=Parametros!$H$6,"B","C")))</f>
        <v>B</v>
      </c>
      <c r="V261" s="17" t="s">
        <v>94</v>
      </c>
      <c r="W261" s="17"/>
      <c r="X261" s="14" t="s">
        <v>2503</v>
      </c>
      <c r="Y261" s="14" t="s">
        <v>2504</v>
      </c>
      <c r="Z261" s="14" t="s">
        <v>2505</v>
      </c>
      <c r="AA261" s="16" t="s">
        <v>2506</v>
      </c>
      <c r="AB261" s="14"/>
      <c r="AC261" s="16" t="s">
        <v>2507</v>
      </c>
      <c r="AD261" s="16" t="s">
        <v>2508</v>
      </c>
      <c r="AE261" s="16" t="s">
        <v>2509</v>
      </c>
      <c r="AF261" s="14"/>
      <c r="AG261" s="14"/>
      <c r="AH261" s="14" t="s">
        <v>1835</v>
      </c>
    </row>
    <row r="262" customFormat="false" ht="15" hidden="false" customHeight="false" outlineLevel="0" collapsed="false">
      <c r="A262" s="14" t="s">
        <v>2510</v>
      </c>
      <c r="B262" s="14" t="s">
        <v>2511</v>
      </c>
      <c r="C262" s="14" t="s">
        <v>670</v>
      </c>
      <c r="D262" s="14"/>
      <c r="E262" s="14" t="s">
        <v>9</v>
      </c>
      <c r="F262" s="14" t="s">
        <v>2512</v>
      </c>
      <c r="G262" s="15" t="s">
        <v>2499</v>
      </c>
      <c r="H262" s="14" t="s">
        <v>2500</v>
      </c>
      <c r="I262" s="14" t="s">
        <v>210</v>
      </c>
      <c r="J262" s="14" t="s">
        <v>235</v>
      </c>
      <c r="K262" s="14" t="s">
        <v>90</v>
      </c>
      <c r="L262" s="15" t="s">
        <v>91</v>
      </c>
      <c r="M262" s="14" t="s">
        <v>2513</v>
      </c>
      <c r="N262" s="16" t="s">
        <v>2514</v>
      </c>
      <c r="O262" s="15"/>
      <c r="P262" s="15" t="n">
        <v>1993</v>
      </c>
      <c r="Q262" s="15" t="n">
        <f aca="false">IFERROR(VLOOKUP(J262,Parametros!$A$5:$B$9,2,FALSE()),0)</f>
        <v>2</v>
      </c>
      <c r="R262" s="15" t="n">
        <f aca="false">IFERROR(VLOOKUP(H262,Parametros!$D$5:$E$23,2,FALSE()),1)</f>
        <v>2</v>
      </c>
      <c r="S262" s="15" t="n">
        <f aca="false">IF(OR(N(O262)&gt;=Parametros!$H$9,AND(N(P262)&gt;0,N(P262)&lt;=Parametros!$H$10)),1,0)</f>
        <v>1</v>
      </c>
      <c r="T262" s="15" t="n">
        <f aca="false">Q262+R262+S262</f>
        <v>5</v>
      </c>
      <c r="U262" s="15" t="str">
        <f aca="false">IF(OR(V262="Inactive",V262="No encontrada",V262="Duplicado"),"Descartada",IF(AND(T262&gt;=Parametros!$H$5,S262=1),"A",IF(T262&gt;=Parametros!$H$6,"B","C")))</f>
        <v>B</v>
      </c>
      <c r="V262" s="17" t="s">
        <v>94</v>
      </c>
      <c r="W262" s="17"/>
      <c r="X262" s="14" t="s">
        <v>2515</v>
      </c>
      <c r="Y262" s="14" t="s">
        <v>2516</v>
      </c>
      <c r="Z262" s="14" t="s">
        <v>2517</v>
      </c>
      <c r="AA262" s="16" t="s">
        <v>2518</v>
      </c>
      <c r="AB262" s="14"/>
      <c r="AC262" s="14"/>
      <c r="AD262" s="16" t="s">
        <v>2519</v>
      </c>
      <c r="AE262" s="16" t="s">
        <v>2519</v>
      </c>
      <c r="AF262" s="14"/>
      <c r="AG262" s="14" t="s">
        <v>2520</v>
      </c>
      <c r="AH262" s="14" t="s">
        <v>1835</v>
      </c>
    </row>
    <row r="263" customFormat="false" ht="15" hidden="false" customHeight="false" outlineLevel="0" collapsed="false">
      <c r="A263" s="14" t="s">
        <v>2521</v>
      </c>
      <c r="B263" s="14" t="s">
        <v>2522</v>
      </c>
      <c r="C263" s="14" t="s">
        <v>494</v>
      </c>
      <c r="D263" s="14" t="s">
        <v>1450</v>
      </c>
      <c r="E263" s="14" t="s">
        <v>6</v>
      </c>
      <c r="F263" s="14" t="s">
        <v>2523</v>
      </c>
      <c r="G263" s="15" t="s">
        <v>1344</v>
      </c>
      <c r="H263" s="14" t="s">
        <v>1345</v>
      </c>
      <c r="I263" s="14" t="s">
        <v>210</v>
      </c>
      <c r="J263" s="14" t="s">
        <v>235</v>
      </c>
      <c r="K263" s="14" t="s">
        <v>312</v>
      </c>
      <c r="L263" s="15" t="s">
        <v>91</v>
      </c>
      <c r="M263" s="14" t="s">
        <v>2524</v>
      </c>
      <c r="N263" s="16" t="s">
        <v>2525</v>
      </c>
      <c r="O263" s="15"/>
      <c r="P263" s="15"/>
      <c r="Q263" s="15" t="n">
        <f aca="false">IFERROR(VLOOKUP(J263,Parametros!$A$5:$B$9,2,FALSE()),0)</f>
        <v>2</v>
      </c>
      <c r="R263" s="15" t="n">
        <f aca="false">IFERROR(VLOOKUP(H263,Parametros!$D$5:$E$23,2,FALSE()),1)</f>
        <v>1</v>
      </c>
      <c r="S263" s="15" t="n">
        <f aca="false">IF(OR(N(O263)&gt;=Parametros!$H$9,AND(N(P263)&gt;0,N(P263)&lt;=Parametros!$H$10)),1,0)</f>
        <v>0</v>
      </c>
      <c r="T263" s="15" t="n">
        <f aca="false">Q263+R263+S263</f>
        <v>3</v>
      </c>
      <c r="U263" s="15" t="str">
        <f aca="false">IF(OR(V263="Inactive",V263="No encontrada",V263="Duplicado"),"Descartada",IF(AND(T263&gt;=Parametros!$H$5,S263=1),"A",IF(T263&gt;=Parametros!$H$6,"B","C")))</f>
        <v>C</v>
      </c>
      <c r="V263" s="17" t="s">
        <v>94</v>
      </c>
      <c r="W263" s="17"/>
      <c r="X263" s="14" t="s">
        <v>2526</v>
      </c>
      <c r="Y263" s="14"/>
      <c r="Z263" s="14" t="s">
        <v>2527</v>
      </c>
      <c r="AA263" s="16" t="s">
        <v>2528</v>
      </c>
      <c r="AB263" s="14"/>
      <c r="AC263" s="16" t="s">
        <v>2529</v>
      </c>
      <c r="AD263" s="16" t="s">
        <v>2525</v>
      </c>
      <c r="AE263" s="16" t="s">
        <v>2530</v>
      </c>
      <c r="AF263" s="14"/>
      <c r="AG263" s="14" t="s">
        <v>2531</v>
      </c>
      <c r="AH263" s="14" t="s">
        <v>2532</v>
      </c>
    </row>
    <row r="264" customFormat="false" ht="15" hidden="false" customHeight="false" outlineLevel="0" collapsed="false">
      <c r="A264" s="14" t="s">
        <v>2533</v>
      </c>
      <c r="B264" s="14" t="s">
        <v>2534</v>
      </c>
      <c r="C264" s="14" t="s">
        <v>984</v>
      </c>
      <c r="D264" s="14"/>
      <c r="E264" s="14" t="s">
        <v>6</v>
      </c>
      <c r="F264" s="14" t="s">
        <v>2535</v>
      </c>
      <c r="G264" s="15" t="s">
        <v>1628</v>
      </c>
      <c r="H264" s="14" t="s">
        <v>1629</v>
      </c>
      <c r="I264" s="14" t="s">
        <v>72</v>
      </c>
      <c r="J264" s="14" t="s">
        <v>235</v>
      </c>
      <c r="K264" s="14" t="s">
        <v>312</v>
      </c>
      <c r="L264" s="15" t="s">
        <v>91</v>
      </c>
      <c r="M264" s="14" t="s">
        <v>2536</v>
      </c>
      <c r="N264" s="16" t="s">
        <v>2537</v>
      </c>
      <c r="O264" s="15"/>
      <c r="P264" s="15" t="n">
        <v>2012</v>
      </c>
      <c r="Q264" s="15" t="n">
        <f aca="false">IFERROR(VLOOKUP(J264,Parametros!$A$5:$B$9,2,FALSE()),0)</f>
        <v>2</v>
      </c>
      <c r="R264" s="15" t="n">
        <f aca="false">IFERROR(VLOOKUP(H264,Parametros!$D$5:$E$23,2,FALSE()),1)</f>
        <v>2</v>
      </c>
      <c r="S264" s="15" t="n">
        <f aca="false">IF(OR(N(O264)&gt;=Parametros!$H$9,AND(N(P264)&gt;0,N(P264)&lt;=Parametros!$H$10)),1,0)</f>
        <v>0</v>
      </c>
      <c r="T264" s="15" t="n">
        <f aca="false">Q264+R264+S264</f>
        <v>4</v>
      </c>
      <c r="U264" s="15" t="str">
        <f aca="false">IF(OR(V264="Inactive",V264="No encontrada",V264="Duplicado"),"Descartada",IF(AND(T264&gt;=Parametros!$H$5,S264=1),"A",IF(T264&gt;=Parametros!$H$6,"B","C")))</f>
        <v>B</v>
      </c>
      <c r="V264" s="17" t="s">
        <v>94</v>
      </c>
      <c r="W264" s="17"/>
      <c r="X264" s="14" t="s">
        <v>2538</v>
      </c>
      <c r="Y264" s="14" t="s">
        <v>2539</v>
      </c>
      <c r="Z264" s="14" t="s">
        <v>2540</v>
      </c>
      <c r="AA264" s="16" t="s">
        <v>2541</v>
      </c>
      <c r="AB264" s="14"/>
      <c r="AC264" s="16" t="s">
        <v>2542</v>
      </c>
      <c r="AD264" s="16" t="s">
        <v>2543</v>
      </c>
      <c r="AE264" s="16" t="s">
        <v>2543</v>
      </c>
      <c r="AF264" s="14"/>
      <c r="AG264" s="14"/>
      <c r="AH264" s="14" t="s">
        <v>1835</v>
      </c>
    </row>
    <row r="265" customFormat="false" ht="15" hidden="false" customHeight="false" outlineLevel="0" collapsed="false">
      <c r="A265" s="14" t="s">
        <v>2544</v>
      </c>
      <c r="B265" s="14" t="s">
        <v>2545</v>
      </c>
      <c r="C265" s="14" t="s">
        <v>563</v>
      </c>
      <c r="D265" s="14"/>
      <c r="E265" s="14" t="s">
        <v>6</v>
      </c>
      <c r="F265" s="14" t="s">
        <v>2546</v>
      </c>
      <c r="G265" s="15" t="s">
        <v>1628</v>
      </c>
      <c r="H265" s="14" t="s">
        <v>1629</v>
      </c>
      <c r="I265" s="14" t="s">
        <v>72</v>
      </c>
      <c r="J265" s="14" t="s">
        <v>199</v>
      </c>
      <c r="K265" s="14" t="s">
        <v>90</v>
      </c>
      <c r="L265" s="15" t="s">
        <v>91</v>
      </c>
      <c r="M265" s="14" t="s">
        <v>2547</v>
      </c>
      <c r="N265" s="16" t="s">
        <v>2537</v>
      </c>
      <c r="O265" s="15"/>
      <c r="P265" s="15" t="n">
        <v>1972</v>
      </c>
      <c r="Q265" s="15" t="n">
        <f aca="false">IFERROR(VLOOKUP(J265,Parametros!$A$5:$B$9,2,FALSE()),0)</f>
        <v>1</v>
      </c>
      <c r="R265" s="15" t="n">
        <f aca="false">IFERROR(VLOOKUP(H265,Parametros!$D$5:$E$23,2,FALSE()),1)</f>
        <v>2</v>
      </c>
      <c r="S265" s="15" t="n">
        <f aca="false">IF(OR(N(O265)&gt;=Parametros!$H$9,AND(N(P265)&gt;0,N(P265)&lt;=Parametros!$H$10)),1,0)</f>
        <v>1</v>
      </c>
      <c r="T265" s="15" t="n">
        <f aca="false">Q265+R265+S265</f>
        <v>4</v>
      </c>
      <c r="U265" s="15" t="str">
        <f aca="false">IF(OR(V265="Inactive",V265="No encontrada",V265="Duplicado"),"Descartada",IF(AND(T265&gt;=Parametros!$H$5,S265=1),"A",IF(T265&gt;=Parametros!$H$6,"B","C")))</f>
        <v>B</v>
      </c>
      <c r="V265" s="17" t="s">
        <v>94</v>
      </c>
      <c r="W265" s="17"/>
      <c r="X265" s="14" t="s">
        <v>2548</v>
      </c>
      <c r="Y265" s="14" t="s">
        <v>2549</v>
      </c>
      <c r="Z265" s="14" t="s">
        <v>2550</v>
      </c>
      <c r="AA265" s="16" t="s">
        <v>2551</v>
      </c>
      <c r="AB265" s="14"/>
      <c r="AC265" s="14"/>
      <c r="AD265" s="16" t="s">
        <v>2552</v>
      </c>
      <c r="AE265" s="16" t="s">
        <v>2552</v>
      </c>
      <c r="AF265" s="14"/>
      <c r="AG265" s="14"/>
      <c r="AH265" s="14" t="s">
        <v>1835</v>
      </c>
    </row>
    <row r="266" customFormat="false" ht="23.85" hidden="false" customHeight="false" outlineLevel="0" collapsed="false">
      <c r="A266" s="14" t="s">
        <v>2553</v>
      </c>
      <c r="B266" s="14" t="s">
        <v>2554</v>
      </c>
      <c r="C266" s="14" t="s">
        <v>2326</v>
      </c>
      <c r="D266" s="14"/>
      <c r="E266" s="14" t="s">
        <v>9</v>
      </c>
      <c r="F266" s="14" t="s">
        <v>2555</v>
      </c>
      <c r="G266" s="15" t="s">
        <v>1344</v>
      </c>
      <c r="H266" s="14" t="s">
        <v>1345</v>
      </c>
      <c r="I266" s="14" t="s">
        <v>72</v>
      </c>
      <c r="J266" s="14" t="s">
        <v>199</v>
      </c>
      <c r="K266" s="14" t="s">
        <v>312</v>
      </c>
      <c r="L266" s="15" t="s">
        <v>91</v>
      </c>
      <c r="M266" s="14" t="s">
        <v>2556</v>
      </c>
      <c r="N266" s="16" t="s">
        <v>2557</v>
      </c>
      <c r="O266" s="15"/>
      <c r="P266" s="15" t="n">
        <v>1986</v>
      </c>
      <c r="Q266" s="15" t="n">
        <f aca="false">IFERROR(VLOOKUP(J266,Parametros!$A$5:$B$9,2,FALSE()),0)</f>
        <v>1</v>
      </c>
      <c r="R266" s="15" t="n">
        <f aca="false">IFERROR(VLOOKUP(H266,Parametros!$D$5:$E$23,2,FALSE()),1)</f>
        <v>1</v>
      </c>
      <c r="S266" s="15" t="n">
        <f aca="false">IF(OR(N(O266)&gt;=Parametros!$H$9,AND(N(P266)&gt;0,N(P266)&lt;=Parametros!$H$10)),1,0)</f>
        <v>1</v>
      </c>
      <c r="T266" s="15" t="n">
        <f aca="false">Q266+R266+S266</f>
        <v>3</v>
      </c>
      <c r="U266" s="15" t="str">
        <f aca="false">IF(OR(V266="Inactive",V266="No encontrada",V266="Duplicado"),"Descartada",IF(AND(T266&gt;=Parametros!$H$5,S266=1),"A",IF(T266&gt;=Parametros!$H$6,"B","C")))</f>
        <v>C</v>
      </c>
      <c r="V266" s="17" t="s">
        <v>94</v>
      </c>
      <c r="W266" s="17"/>
      <c r="X266" s="14" t="s">
        <v>2558</v>
      </c>
      <c r="Y266" s="14" t="s">
        <v>2559</v>
      </c>
      <c r="Z266" s="14" t="s">
        <v>2560</v>
      </c>
      <c r="AA266" s="16" t="s">
        <v>2561</v>
      </c>
      <c r="AB266" s="14"/>
      <c r="AC266" s="16" t="s">
        <v>2562</v>
      </c>
      <c r="AD266" s="16" t="s">
        <v>2563</v>
      </c>
      <c r="AE266" s="16" t="s">
        <v>2557</v>
      </c>
      <c r="AF266" s="14"/>
      <c r="AG266" s="14"/>
      <c r="AH266" s="14" t="s">
        <v>1835</v>
      </c>
    </row>
    <row r="267" customFormat="false" ht="15" hidden="false" customHeight="false" outlineLevel="0" collapsed="false">
      <c r="A267" s="14" t="s">
        <v>2564</v>
      </c>
      <c r="B267" s="14" t="s">
        <v>2565</v>
      </c>
      <c r="C267" s="14" t="s">
        <v>420</v>
      </c>
      <c r="D267" s="14"/>
      <c r="E267" s="14" t="s">
        <v>6</v>
      </c>
      <c r="F267" s="14" t="s">
        <v>2566</v>
      </c>
      <c r="G267" s="15" t="s">
        <v>1344</v>
      </c>
      <c r="H267" s="14" t="s">
        <v>1345</v>
      </c>
      <c r="I267" s="14" t="s">
        <v>210</v>
      </c>
      <c r="J267" s="14" t="s">
        <v>199</v>
      </c>
      <c r="K267" s="14" t="s">
        <v>90</v>
      </c>
      <c r="L267" s="15" t="s">
        <v>91</v>
      </c>
      <c r="M267" s="14" t="s">
        <v>2567</v>
      </c>
      <c r="N267" s="16" t="s">
        <v>2568</v>
      </c>
      <c r="O267" s="15"/>
      <c r="P267" s="15"/>
      <c r="Q267" s="15" t="n">
        <f aca="false">IFERROR(VLOOKUP(J267,Parametros!$A$5:$B$9,2,FALSE()),0)</f>
        <v>1</v>
      </c>
      <c r="R267" s="15" t="n">
        <f aca="false">IFERROR(VLOOKUP(H267,Parametros!$D$5:$E$23,2,FALSE()),1)</f>
        <v>1</v>
      </c>
      <c r="S267" s="15" t="n">
        <f aca="false">IF(OR(N(O267)&gt;=Parametros!$H$9,AND(N(P267)&gt;0,N(P267)&lt;=Parametros!$H$10)),1,0)</f>
        <v>0</v>
      </c>
      <c r="T267" s="15" t="n">
        <f aca="false">Q267+R267+S267</f>
        <v>2</v>
      </c>
      <c r="U267" s="15" t="str">
        <f aca="false">IF(OR(V267="Inactive",V267="No encontrada",V267="Duplicado"),"Descartada",IF(AND(T267&gt;=Parametros!$H$5,S267=1),"A",IF(T267&gt;=Parametros!$H$6,"B","C")))</f>
        <v>C</v>
      </c>
      <c r="V267" s="17" t="s">
        <v>94</v>
      </c>
      <c r="W267" s="17"/>
      <c r="X267" s="14" t="s">
        <v>2569</v>
      </c>
      <c r="Y267" s="14" t="s">
        <v>2570</v>
      </c>
      <c r="Z267" s="14" t="s">
        <v>2571</v>
      </c>
      <c r="AA267" s="16" t="s">
        <v>2572</v>
      </c>
      <c r="AB267" s="14"/>
      <c r="AC267" s="14"/>
      <c r="AD267" s="16" t="s">
        <v>2573</v>
      </c>
      <c r="AE267" s="16" t="s">
        <v>2573</v>
      </c>
      <c r="AF267" s="14"/>
      <c r="AG267" s="14"/>
      <c r="AH267" s="14" t="s">
        <v>2532</v>
      </c>
    </row>
    <row r="268" customFormat="false" ht="15" hidden="false" customHeight="false" outlineLevel="0" collapsed="false">
      <c r="A268" s="14" t="s">
        <v>2574</v>
      </c>
      <c r="B268" s="14" t="s">
        <v>2575</v>
      </c>
      <c r="C268" s="14" t="s">
        <v>658</v>
      </c>
      <c r="D268" s="14"/>
      <c r="E268" s="14" t="s">
        <v>6</v>
      </c>
      <c r="F268" s="14" t="s">
        <v>2576</v>
      </c>
      <c r="G268" s="15" t="s">
        <v>1344</v>
      </c>
      <c r="H268" s="14" t="s">
        <v>1345</v>
      </c>
      <c r="I268" s="14" t="s">
        <v>210</v>
      </c>
      <c r="J268" s="14" t="s">
        <v>199</v>
      </c>
      <c r="K268" s="14" t="s">
        <v>90</v>
      </c>
      <c r="L268" s="15" t="s">
        <v>91</v>
      </c>
      <c r="M268" s="14" t="s">
        <v>2577</v>
      </c>
      <c r="N268" s="16" t="s">
        <v>2578</v>
      </c>
      <c r="O268" s="15"/>
      <c r="P268" s="15"/>
      <c r="Q268" s="15" t="n">
        <f aca="false">IFERROR(VLOOKUP(J268,Parametros!$A$5:$B$9,2,FALSE()),0)</f>
        <v>1</v>
      </c>
      <c r="R268" s="15" t="n">
        <f aca="false">IFERROR(VLOOKUP(H268,Parametros!$D$5:$E$23,2,FALSE()),1)</f>
        <v>1</v>
      </c>
      <c r="S268" s="15" t="n">
        <f aca="false">IF(OR(N(O268)&gt;=Parametros!$H$9,AND(N(P268)&gt;0,N(P268)&lt;=Parametros!$H$10)),1,0)</f>
        <v>0</v>
      </c>
      <c r="T268" s="15" t="n">
        <f aca="false">Q268+R268+S268</f>
        <v>2</v>
      </c>
      <c r="U268" s="15" t="str">
        <f aca="false">IF(OR(V268="Inactive",V268="No encontrada",V268="Duplicado"),"Descartada",IF(AND(T268&gt;=Parametros!$H$5,S268=1),"A",IF(T268&gt;=Parametros!$H$6,"B","C")))</f>
        <v>C</v>
      </c>
      <c r="V268" s="17" t="s">
        <v>94</v>
      </c>
      <c r="W268" s="17"/>
      <c r="X268" s="14" t="s">
        <v>2579</v>
      </c>
      <c r="Y268" s="14" t="s">
        <v>2580</v>
      </c>
      <c r="Z268" s="14" t="s">
        <v>2581</v>
      </c>
      <c r="AA268" s="16" t="s">
        <v>2582</v>
      </c>
      <c r="AB268" s="14"/>
      <c r="AC268" s="14"/>
      <c r="AD268" s="16" t="s">
        <v>2578</v>
      </c>
      <c r="AE268" s="16" t="s">
        <v>2583</v>
      </c>
      <c r="AF268" s="14"/>
      <c r="AG268" s="14"/>
      <c r="AH268" s="14" t="s">
        <v>2532</v>
      </c>
    </row>
    <row r="269" customFormat="false" ht="15" hidden="false" customHeight="false" outlineLevel="0" collapsed="false">
      <c r="A269" s="14" t="s">
        <v>2584</v>
      </c>
      <c r="B269" s="14" t="s">
        <v>2585</v>
      </c>
      <c r="C269" s="14" t="s">
        <v>1876</v>
      </c>
      <c r="D269" s="14"/>
      <c r="E269" s="14" t="s">
        <v>6</v>
      </c>
      <c r="F269" s="14" t="s">
        <v>2586</v>
      </c>
      <c r="G269" s="15" t="s">
        <v>1344</v>
      </c>
      <c r="H269" s="14" t="s">
        <v>1345</v>
      </c>
      <c r="I269" s="14" t="s">
        <v>210</v>
      </c>
      <c r="J269" s="14" t="s">
        <v>235</v>
      </c>
      <c r="K269" s="14" t="s">
        <v>90</v>
      </c>
      <c r="L269" s="15" t="s">
        <v>91</v>
      </c>
      <c r="M269" s="14" t="s">
        <v>2587</v>
      </c>
      <c r="N269" s="16" t="s">
        <v>2588</v>
      </c>
      <c r="O269" s="15"/>
      <c r="P269" s="15" t="n">
        <v>2011</v>
      </c>
      <c r="Q269" s="15" t="n">
        <f aca="false">IFERROR(VLOOKUP(J269,Parametros!$A$5:$B$9,2,FALSE()),0)</f>
        <v>2</v>
      </c>
      <c r="R269" s="15" t="n">
        <f aca="false">IFERROR(VLOOKUP(H269,Parametros!$D$5:$E$23,2,FALSE()),1)</f>
        <v>1</v>
      </c>
      <c r="S269" s="15" t="n">
        <f aca="false">IF(OR(N(O269)&gt;=Parametros!$H$9,AND(N(P269)&gt;0,N(P269)&lt;=Parametros!$H$10)),1,0)</f>
        <v>0</v>
      </c>
      <c r="T269" s="15" t="n">
        <f aca="false">Q269+R269+S269</f>
        <v>3</v>
      </c>
      <c r="U269" s="15" t="str">
        <f aca="false">IF(OR(V269="Inactive",V269="No encontrada",V269="Duplicado"),"Descartada",IF(AND(T269&gt;=Parametros!$H$5,S269=1),"A",IF(T269&gt;=Parametros!$H$6,"B","C")))</f>
        <v>C</v>
      </c>
      <c r="V269" s="17" t="s">
        <v>94</v>
      </c>
      <c r="W269" s="17"/>
      <c r="X269" s="14" t="s">
        <v>2589</v>
      </c>
      <c r="Y269" s="14" t="s">
        <v>2590</v>
      </c>
      <c r="Z269" s="14" t="s">
        <v>2591</v>
      </c>
      <c r="AA269" s="16" t="s">
        <v>2592</v>
      </c>
      <c r="AB269" s="14"/>
      <c r="AC269" s="14"/>
      <c r="AD269" s="16" t="s">
        <v>2588</v>
      </c>
      <c r="AE269" s="16" t="s">
        <v>2593</v>
      </c>
      <c r="AF269" s="14"/>
      <c r="AG269" s="14" t="s">
        <v>780</v>
      </c>
      <c r="AH269" s="14" t="s">
        <v>2532</v>
      </c>
    </row>
    <row r="270" customFormat="false" ht="23.85" hidden="false" customHeight="false" outlineLevel="0" collapsed="false">
      <c r="A270" s="14" t="s">
        <v>2594</v>
      </c>
      <c r="B270" s="14" t="s">
        <v>2595</v>
      </c>
      <c r="C270" s="14" t="s">
        <v>1876</v>
      </c>
      <c r="D270" s="14"/>
      <c r="E270" s="14" t="s">
        <v>6</v>
      </c>
      <c r="F270" s="14" t="s">
        <v>2586</v>
      </c>
      <c r="G270" s="15" t="s">
        <v>1344</v>
      </c>
      <c r="H270" s="14" t="s">
        <v>1345</v>
      </c>
      <c r="I270" s="14" t="s">
        <v>210</v>
      </c>
      <c r="J270" s="14" t="s">
        <v>8</v>
      </c>
      <c r="K270" s="14" t="s">
        <v>61</v>
      </c>
      <c r="L270" s="15" t="s">
        <v>91</v>
      </c>
      <c r="M270" s="14" t="s">
        <v>2596</v>
      </c>
      <c r="N270" s="16" t="s">
        <v>2597</v>
      </c>
      <c r="O270" s="15"/>
      <c r="P270" s="15"/>
      <c r="Q270" s="15" t="n">
        <f aca="false">IFERROR(VLOOKUP(J270,Parametros!$A$5:$B$9,2,FALSE()),0)</f>
        <v>3</v>
      </c>
      <c r="R270" s="15" t="n">
        <f aca="false">IFERROR(VLOOKUP(H270,Parametros!$D$5:$E$23,2,FALSE()),1)</f>
        <v>1</v>
      </c>
      <c r="S270" s="15" t="n">
        <f aca="false">IF(OR(N(O270)&gt;=Parametros!$H$9,AND(N(P270)&gt;0,N(P270)&lt;=Parametros!$H$10)),1,0)</f>
        <v>0</v>
      </c>
      <c r="T270" s="15" t="n">
        <f aca="false">Q270+R270+S270</f>
        <v>4</v>
      </c>
      <c r="U270" s="15" t="str">
        <f aca="false">IF(OR(V270="Inactive",V270="No encontrada",V270="Duplicado"),"Descartada",IF(AND(T270&gt;=Parametros!$H$5,S270=1),"A",IF(T270&gt;=Parametros!$H$6,"B","C")))</f>
        <v>B</v>
      </c>
      <c r="V270" s="17" t="s">
        <v>94</v>
      </c>
      <c r="W270" s="17"/>
      <c r="X270" s="14" t="s">
        <v>2598</v>
      </c>
      <c r="Y270" s="14" t="s">
        <v>2599</v>
      </c>
      <c r="Z270" s="14"/>
      <c r="AA270" s="14"/>
      <c r="AB270" s="14"/>
      <c r="AC270" s="14"/>
      <c r="AD270" s="16" t="s">
        <v>2597</v>
      </c>
      <c r="AE270" s="16" t="s">
        <v>2597</v>
      </c>
      <c r="AF270" s="14"/>
      <c r="AG270" s="14" t="s">
        <v>100</v>
      </c>
      <c r="AH270" s="14" t="s">
        <v>2532</v>
      </c>
    </row>
    <row r="271" customFormat="false" ht="15" hidden="false" customHeight="false" outlineLevel="0" collapsed="false">
      <c r="A271" s="14" t="s">
        <v>2600</v>
      </c>
      <c r="B271" s="14" t="s">
        <v>2601</v>
      </c>
      <c r="C271" s="14" t="s">
        <v>1876</v>
      </c>
      <c r="D271" s="14"/>
      <c r="E271" s="14" t="s">
        <v>6</v>
      </c>
      <c r="F271" s="14" t="s">
        <v>2602</v>
      </c>
      <c r="G271" s="15" t="s">
        <v>224</v>
      </c>
      <c r="H271" s="14" t="s">
        <v>225</v>
      </c>
      <c r="I271" s="14" t="s">
        <v>89</v>
      </c>
      <c r="J271" s="14" t="s">
        <v>235</v>
      </c>
      <c r="K271" s="14" t="s">
        <v>61</v>
      </c>
      <c r="L271" s="15" t="s">
        <v>91</v>
      </c>
      <c r="M271" s="14" t="s">
        <v>2603</v>
      </c>
      <c r="N271" s="16" t="s">
        <v>2604</v>
      </c>
      <c r="O271" s="15"/>
      <c r="P271" s="15" t="n">
        <v>2000</v>
      </c>
      <c r="Q271" s="15" t="n">
        <f aca="false">IFERROR(VLOOKUP(J271,Parametros!$A$5:$B$9,2,FALSE()),0)</f>
        <v>2</v>
      </c>
      <c r="R271" s="15" t="n">
        <f aca="false">IFERROR(VLOOKUP(H271,Parametros!$D$5:$E$23,2,FALSE()),1)</f>
        <v>2</v>
      </c>
      <c r="S271" s="15" t="n">
        <f aca="false">IF(OR(N(O271)&gt;=Parametros!$H$9,AND(N(P271)&gt;0,N(P271)&lt;=Parametros!$H$10)),1,0)</f>
        <v>1</v>
      </c>
      <c r="T271" s="15" t="n">
        <f aca="false">Q271+R271+S271</f>
        <v>5</v>
      </c>
      <c r="U271" s="15" t="str">
        <f aca="false">IF(OR(V271="Inactive",V271="No encontrada",V271="Duplicado"),"Descartada",IF(AND(T271&gt;=Parametros!$H$5,S271=1),"A",IF(T271&gt;=Parametros!$H$6,"B","C")))</f>
        <v>B</v>
      </c>
      <c r="V271" s="17" t="s">
        <v>94</v>
      </c>
      <c r="W271" s="17"/>
      <c r="X271" s="14" t="s">
        <v>2605</v>
      </c>
      <c r="Y271" s="14" t="s">
        <v>2606</v>
      </c>
      <c r="Z271" s="14" t="s">
        <v>2607</v>
      </c>
      <c r="AA271" s="14"/>
      <c r="AB271" s="14"/>
      <c r="AC271" s="14"/>
      <c r="AD271" s="16" t="s">
        <v>2608</v>
      </c>
      <c r="AE271" s="16" t="s">
        <v>2609</v>
      </c>
      <c r="AF271" s="14"/>
      <c r="AG271" s="14" t="s">
        <v>2610</v>
      </c>
      <c r="AH271" s="14" t="s">
        <v>2532</v>
      </c>
    </row>
    <row r="272" customFormat="false" ht="23.85" hidden="false" customHeight="false" outlineLevel="0" collapsed="false">
      <c r="A272" s="14" t="s">
        <v>2611</v>
      </c>
      <c r="B272" s="14" t="s">
        <v>2612</v>
      </c>
      <c r="C272" s="14" t="s">
        <v>714</v>
      </c>
      <c r="D272" s="14"/>
      <c r="E272" s="14" t="s">
        <v>9</v>
      </c>
      <c r="F272" s="14" t="s">
        <v>2613</v>
      </c>
      <c r="G272" s="15" t="s">
        <v>224</v>
      </c>
      <c r="H272" s="14" t="s">
        <v>225</v>
      </c>
      <c r="I272" s="14" t="s">
        <v>210</v>
      </c>
      <c r="J272" s="14" t="s">
        <v>148</v>
      </c>
      <c r="K272" s="14" t="s">
        <v>1226</v>
      </c>
      <c r="L272" s="15" t="s">
        <v>91</v>
      </c>
      <c r="M272" s="14" t="s">
        <v>2614</v>
      </c>
      <c r="N272" s="16" t="s">
        <v>2615</v>
      </c>
      <c r="O272" s="15"/>
      <c r="P272" s="15" t="n">
        <v>1987</v>
      </c>
      <c r="Q272" s="15" t="n">
        <f aca="false">IFERROR(VLOOKUP(J272,Parametros!$A$5:$B$9,2,FALSE()),0)</f>
        <v>3</v>
      </c>
      <c r="R272" s="15" t="n">
        <f aca="false">IFERROR(VLOOKUP(H272,Parametros!$D$5:$E$23,2,FALSE()),1)</f>
        <v>2</v>
      </c>
      <c r="S272" s="15" t="n">
        <f aca="false">IF(OR(N(O272)&gt;=Parametros!$H$9,AND(N(P272)&gt;0,N(P272)&lt;=Parametros!$H$10)),1,0)</f>
        <v>1</v>
      </c>
      <c r="T272" s="15" t="n">
        <f aca="false">Q272+R272+S272</f>
        <v>6</v>
      </c>
      <c r="U272" s="15" t="str">
        <f aca="false">IF(OR(V272="Inactive",V272="No encontrada",V272="Duplicado"),"Descartada",IF(AND(T272&gt;=Parametros!$H$5,S272=1),"A",IF(T272&gt;=Parametros!$H$6,"B","C")))</f>
        <v>A</v>
      </c>
      <c r="V272" s="17" t="s">
        <v>94</v>
      </c>
      <c r="W272" s="17"/>
      <c r="X272" s="14" t="s">
        <v>2616</v>
      </c>
      <c r="Y272" s="14" t="s">
        <v>2617</v>
      </c>
      <c r="Z272" s="14" t="s">
        <v>2618</v>
      </c>
      <c r="AA272" s="14"/>
      <c r="AB272" s="16" t="s">
        <v>2619</v>
      </c>
      <c r="AC272" s="14"/>
      <c r="AD272" s="16" t="s">
        <v>2620</v>
      </c>
      <c r="AE272" s="16" t="s">
        <v>2620</v>
      </c>
      <c r="AF272" s="14"/>
      <c r="AG272" s="14"/>
      <c r="AH272" s="14" t="s">
        <v>2532</v>
      </c>
    </row>
    <row r="273" customFormat="false" ht="15" hidden="false" customHeight="false" outlineLevel="0" collapsed="false">
      <c r="A273" s="14" t="s">
        <v>2621</v>
      </c>
      <c r="B273" s="14" t="s">
        <v>2622</v>
      </c>
      <c r="C273" s="14" t="s">
        <v>1052</v>
      </c>
      <c r="D273" s="14"/>
      <c r="E273" s="14" t="s">
        <v>6</v>
      </c>
      <c r="F273" s="14" t="s">
        <v>2623</v>
      </c>
      <c r="G273" s="15" t="s">
        <v>1004</v>
      </c>
      <c r="H273" s="14" t="s">
        <v>1005</v>
      </c>
      <c r="I273" s="14" t="s">
        <v>210</v>
      </c>
      <c r="J273" s="14" t="s">
        <v>199</v>
      </c>
      <c r="K273" s="14" t="s">
        <v>90</v>
      </c>
      <c r="L273" s="15" t="s">
        <v>91</v>
      </c>
      <c r="M273" s="14" t="s">
        <v>2624</v>
      </c>
      <c r="N273" s="16" t="s">
        <v>2625</v>
      </c>
      <c r="O273" s="15"/>
      <c r="P273" s="15" t="n">
        <v>1925</v>
      </c>
      <c r="Q273" s="15" t="n">
        <f aca="false">IFERROR(VLOOKUP(J273,Parametros!$A$5:$B$9,2,FALSE()),0)</f>
        <v>1</v>
      </c>
      <c r="R273" s="15" t="n">
        <f aca="false">IFERROR(VLOOKUP(H273,Parametros!$D$5:$E$23,2,FALSE()),1)</f>
        <v>3</v>
      </c>
      <c r="S273" s="15" t="n">
        <f aca="false">IF(OR(N(O273)&gt;=Parametros!$H$9,AND(N(P273)&gt;0,N(P273)&lt;=Parametros!$H$10)),1,0)</f>
        <v>1</v>
      </c>
      <c r="T273" s="15" t="n">
        <f aca="false">Q273+R273+S273</f>
        <v>5</v>
      </c>
      <c r="U273" s="15" t="str">
        <f aca="false">IF(OR(V273="Inactive",V273="No encontrada",V273="Duplicado"),"Descartada",IF(AND(T273&gt;=Parametros!$H$5,S273=1),"A",IF(T273&gt;=Parametros!$H$6,"B","C")))</f>
        <v>B</v>
      </c>
      <c r="V273" s="17" t="s">
        <v>94</v>
      </c>
      <c r="W273" s="17"/>
      <c r="X273" s="14" t="s">
        <v>2626</v>
      </c>
      <c r="Y273" s="14" t="s">
        <v>2627</v>
      </c>
      <c r="Z273" s="14" t="s">
        <v>2628</v>
      </c>
      <c r="AA273" s="16" t="s">
        <v>2629</v>
      </c>
      <c r="AB273" s="14"/>
      <c r="AC273" s="14"/>
      <c r="AD273" s="16" t="s">
        <v>2630</v>
      </c>
      <c r="AE273" s="16" t="s">
        <v>2631</v>
      </c>
      <c r="AF273" s="14"/>
      <c r="AG273" s="14"/>
      <c r="AH273" s="14" t="s">
        <v>2632</v>
      </c>
    </row>
    <row r="274" customFormat="false" ht="15" hidden="false" customHeight="false" outlineLevel="0" collapsed="false">
      <c r="A274" s="14" t="s">
        <v>2633</v>
      </c>
      <c r="B274" s="14" t="s">
        <v>2634</v>
      </c>
      <c r="C274" s="14" t="s">
        <v>494</v>
      </c>
      <c r="D274" s="14" t="s">
        <v>2635</v>
      </c>
      <c r="E274" s="14" t="s">
        <v>6</v>
      </c>
      <c r="F274" s="14" t="s">
        <v>2636</v>
      </c>
      <c r="G274" s="15" t="s">
        <v>1004</v>
      </c>
      <c r="H274" s="14" t="s">
        <v>1005</v>
      </c>
      <c r="I274" s="14" t="s">
        <v>210</v>
      </c>
      <c r="J274" s="14" t="s">
        <v>210</v>
      </c>
      <c r="K274" s="14" t="s">
        <v>312</v>
      </c>
      <c r="L274" s="15" t="s">
        <v>91</v>
      </c>
      <c r="M274" s="14" t="s">
        <v>2637</v>
      </c>
      <c r="N274" s="16" t="s">
        <v>2638</v>
      </c>
      <c r="O274" s="15"/>
      <c r="P274" s="15" t="n">
        <v>2002</v>
      </c>
      <c r="Q274" s="15" t="n">
        <f aca="false">IFERROR(VLOOKUP(J274,Parametros!$A$5:$B$9,2,FALSE()),0)</f>
        <v>1</v>
      </c>
      <c r="R274" s="15" t="n">
        <f aca="false">IFERROR(VLOOKUP(H274,Parametros!$D$5:$E$23,2,FALSE()),1)</f>
        <v>3</v>
      </c>
      <c r="S274" s="15" t="n">
        <f aca="false">IF(OR(N(O274)&gt;=Parametros!$H$9,AND(N(P274)&gt;0,N(P274)&lt;=Parametros!$H$10)),1,0)</f>
        <v>0</v>
      </c>
      <c r="T274" s="15" t="n">
        <f aca="false">Q274+R274+S274</f>
        <v>4</v>
      </c>
      <c r="U274" s="15" t="str">
        <f aca="false">IF(OR(V274="Inactive",V274="No encontrada",V274="Duplicado"),"Descartada",IF(AND(T274&gt;=Parametros!$H$5,S274=1),"A",IF(T274&gt;=Parametros!$H$6,"B","C")))</f>
        <v>B</v>
      </c>
      <c r="V274" s="17" t="s">
        <v>94</v>
      </c>
      <c r="W274" s="17"/>
      <c r="X274" s="14" t="s">
        <v>2639</v>
      </c>
      <c r="Y274" s="14" t="s">
        <v>2640</v>
      </c>
      <c r="Z274" s="14"/>
      <c r="AA274" s="16" t="s">
        <v>2641</v>
      </c>
      <c r="AB274" s="14"/>
      <c r="AC274" s="16" t="s">
        <v>2642</v>
      </c>
      <c r="AD274" s="16" t="s">
        <v>2638</v>
      </c>
      <c r="AE274" s="16" t="s">
        <v>2638</v>
      </c>
      <c r="AF274" s="14"/>
      <c r="AG274" s="14" t="s">
        <v>1917</v>
      </c>
      <c r="AH274" s="14" t="s">
        <v>2632</v>
      </c>
    </row>
    <row r="275" customFormat="false" ht="15" hidden="false" customHeight="false" outlineLevel="0" collapsed="false">
      <c r="A275" s="14" t="s">
        <v>2643</v>
      </c>
      <c r="B275" s="14" t="s">
        <v>2644</v>
      </c>
      <c r="C275" s="14" t="s">
        <v>494</v>
      </c>
      <c r="D275" s="14" t="s">
        <v>2645</v>
      </c>
      <c r="E275" s="14" t="s">
        <v>6</v>
      </c>
      <c r="F275" s="14" t="s">
        <v>2646</v>
      </c>
      <c r="G275" s="15" t="s">
        <v>1628</v>
      </c>
      <c r="H275" s="14" t="s">
        <v>1629</v>
      </c>
      <c r="I275" s="14" t="s">
        <v>210</v>
      </c>
      <c r="J275" s="14" t="s">
        <v>199</v>
      </c>
      <c r="K275" s="14" t="s">
        <v>61</v>
      </c>
      <c r="L275" s="15" t="s">
        <v>91</v>
      </c>
      <c r="M275" s="14" t="s">
        <v>2647</v>
      </c>
      <c r="N275" s="16" t="s">
        <v>2648</v>
      </c>
      <c r="O275" s="15"/>
      <c r="P275" s="15" t="n">
        <v>1996</v>
      </c>
      <c r="Q275" s="15" t="n">
        <f aca="false">IFERROR(VLOOKUP(J275,Parametros!$A$5:$B$9,2,FALSE()),0)</f>
        <v>1</v>
      </c>
      <c r="R275" s="15" t="n">
        <f aca="false">IFERROR(VLOOKUP(H275,Parametros!$D$5:$E$23,2,FALSE()),1)</f>
        <v>2</v>
      </c>
      <c r="S275" s="15" t="n">
        <f aca="false">IF(OR(N(O275)&gt;=Parametros!$H$9,AND(N(P275)&gt;0,N(P275)&lt;=Parametros!$H$10)),1,0)</f>
        <v>1</v>
      </c>
      <c r="T275" s="15" t="n">
        <f aca="false">Q275+R275+S275</f>
        <v>4</v>
      </c>
      <c r="U275" s="15" t="str">
        <f aca="false">IF(OR(V275="Inactive",V275="No encontrada",V275="Duplicado"),"Descartada",IF(AND(T275&gt;=Parametros!$H$5,S275=1),"A",IF(T275&gt;=Parametros!$H$6,"B","C")))</f>
        <v>B</v>
      </c>
      <c r="V275" s="17" t="s">
        <v>94</v>
      </c>
      <c r="W275" s="17"/>
      <c r="X275" s="14" t="s">
        <v>2649</v>
      </c>
      <c r="Y275" s="14" t="s">
        <v>2650</v>
      </c>
      <c r="Z275" s="14" t="s">
        <v>2651</v>
      </c>
      <c r="AA275" s="14"/>
      <c r="AB275" s="14"/>
      <c r="AC275" s="14"/>
      <c r="AD275" s="16" t="s">
        <v>2648</v>
      </c>
      <c r="AE275" s="16" t="s">
        <v>2652</v>
      </c>
      <c r="AF275" s="14"/>
      <c r="AG275" s="14"/>
      <c r="AH275" s="14" t="s">
        <v>2632</v>
      </c>
    </row>
    <row r="276" customFormat="false" ht="15" hidden="false" customHeight="false" outlineLevel="0" collapsed="false">
      <c r="A276" s="14" t="s">
        <v>2653</v>
      </c>
      <c r="B276" s="14" t="s">
        <v>2654</v>
      </c>
      <c r="C276" s="14" t="s">
        <v>563</v>
      </c>
      <c r="D276" s="14"/>
      <c r="E276" s="14" t="s">
        <v>6</v>
      </c>
      <c r="F276" s="14" t="s">
        <v>2655</v>
      </c>
      <c r="G276" s="15" t="s">
        <v>1628</v>
      </c>
      <c r="H276" s="14" t="s">
        <v>1629</v>
      </c>
      <c r="I276" s="14" t="s">
        <v>210</v>
      </c>
      <c r="J276" s="14" t="s">
        <v>235</v>
      </c>
      <c r="K276" s="14" t="s">
        <v>90</v>
      </c>
      <c r="L276" s="15" t="s">
        <v>91</v>
      </c>
      <c r="M276" s="14" t="s">
        <v>2656</v>
      </c>
      <c r="N276" s="16" t="s">
        <v>2657</v>
      </c>
      <c r="O276" s="15"/>
      <c r="P276" s="15" t="n">
        <v>1983</v>
      </c>
      <c r="Q276" s="15" t="n">
        <f aca="false">IFERROR(VLOOKUP(J276,Parametros!$A$5:$B$9,2,FALSE()),0)</f>
        <v>2</v>
      </c>
      <c r="R276" s="15" t="n">
        <f aca="false">IFERROR(VLOOKUP(H276,Parametros!$D$5:$E$23,2,FALSE()),1)</f>
        <v>2</v>
      </c>
      <c r="S276" s="15" t="n">
        <f aca="false">IF(OR(N(O276)&gt;=Parametros!$H$9,AND(N(P276)&gt;0,N(P276)&lt;=Parametros!$H$10)),1,0)</f>
        <v>1</v>
      </c>
      <c r="T276" s="15" t="n">
        <f aca="false">Q276+R276+S276</f>
        <v>5</v>
      </c>
      <c r="U276" s="15" t="str">
        <f aca="false">IF(OR(V276="Inactive",V276="No encontrada",V276="Duplicado"),"Descartada",IF(AND(T276&gt;=Parametros!$H$5,S276=1),"A",IF(T276&gt;=Parametros!$H$6,"B","C")))</f>
        <v>B</v>
      </c>
      <c r="V276" s="17" t="s">
        <v>94</v>
      </c>
      <c r="W276" s="17"/>
      <c r="X276" s="14" t="s">
        <v>2658</v>
      </c>
      <c r="Y276" s="14" t="s">
        <v>2659</v>
      </c>
      <c r="Z276" s="14" t="s">
        <v>2660</v>
      </c>
      <c r="AA276" s="16" t="s">
        <v>2661</v>
      </c>
      <c r="AB276" s="14"/>
      <c r="AC276" s="14"/>
      <c r="AD276" s="16" t="s">
        <v>2662</v>
      </c>
      <c r="AE276" s="16" t="s">
        <v>2662</v>
      </c>
      <c r="AF276" s="14"/>
      <c r="AG276" s="14" t="s">
        <v>2663</v>
      </c>
      <c r="AH276" s="14" t="s">
        <v>2632</v>
      </c>
    </row>
    <row r="277" customFormat="false" ht="23.85" hidden="false" customHeight="false" outlineLevel="0" collapsed="false">
      <c r="A277" s="14" t="s">
        <v>2664</v>
      </c>
      <c r="B277" s="14" t="s">
        <v>2665</v>
      </c>
      <c r="C277" s="14" t="s">
        <v>420</v>
      </c>
      <c r="D277" s="14"/>
      <c r="E277" s="14" t="s">
        <v>6</v>
      </c>
      <c r="F277" s="14" t="s">
        <v>2666</v>
      </c>
      <c r="G277" s="15" t="s">
        <v>180</v>
      </c>
      <c r="H277" s="14" t="s">
        <v>71</v>
      </c>
      <c r="I277" s="14" t="s">
        <v>115</v>
      </c>
      <c r="J277" s="14" t="s">
        <v>235</v>
      </c>
      <c r="K277" s="14" t="s">
        <v>61</v>
      </c>
      <c r="L277" s="15" t="s">
        <v>91</v>
      </c>
      <c r="M277" s="14" t="s">
        <v>2667</v>
      </c>
      <c r="N277" s="16" t="s">
        <v>2668</v>
      </c>
      <c r="O277" s="15"/>
      <c r="P277" s="15" t="n">
        <v>1977</v>
      </c>
      <c r="Q277" s="15" t="n">
        <f aca="false">IFERROR(VLOOKUP(J277,Parametros!$A$5:$B$9,2,FALSE()),0)</f>
        <v>2</v>
      </c>
      <c r="R277" s="15" t="n">
        <f aca="false">IFERROR(VLOOKUP(H277,Parametros!$D$5:$E$23,2,FALSE()),1)</f>
        <v>2</v>
      </c>
      <c r="S277" s="15" t="n">
        <f aca="false">IF(OR(N(O277)&gt;=Parametros!$H$9,AND(N(P277)&gt;0,N(P277)&lt;=Parametros!$H$10)),1,0)</f>
        <v>1</v>
      </c>
      <c r="T277" s="15" t="n">
        <f aca="false">Q277+R277+S277</f>
        <v>5</v>
      </c>
      <c r="U277" s="15" t="str">
        <f aca="false">IF(OR(V277="Inactive",V277="No encontrada",V277="Duplicado"),"Descartada",IF(AND(T277&gt;=Parametros!$H$5,S277=1),"A",IF(T277&gt;=Parametros!$H$6,"B","C")))</f>
        <v>B</v>
      </c>
      <c r="V277" s="17" t="s">
        <v>94</v>
      </c>
      <c r="W277" s="17"/>
      <c r="X277" s="14" t="s">
        <v>2669</v>
      </c>
      <c r="Y277" s="14" t="s">
        <v>2670</v>
      </c>
      <c r="Z277" s="14" t="s">
        <v>2671</v>
      </c>
      <c r="AA277" s="14"/>
      <c r="AB277" s="14"/>
      <c r="AC277" s="14"/>
      <c r="AD277" s="16" t="s">
        <v>2668</v>
      </c>
      <c r="AE277" s="16" t="s">
        <v>2668</v>
      </c>
      <c r="AF277" s="14"/>
      <c r="AG277" s="14" t="s">
        <v>2672</v>
      </c>
      <c r="AH277" s="14" t="s">
        <v>2673</v>
      </c>
    </row>
    <row r="278" customFormat="false" ht="15" hidden="false" customHeight="false" outlineLevel="0" collapsed="false">
      <c r="A278" s="14" t="s">
        <v>2674</v>
      </c>
      <c r="B278" s="14" t="s">
        <v>2675</v>
      </c>
      <c r="C278" s="14" t="s">
        <v>420</v>
      </c>
      <c r="D278" s="14"/>
      <c r="E278" s="14" t="s">
        <v>6</v>
      </c>
      <c r="F278" s="14" t="s">
        <v>2676</v>
      </c>
      <c r="G278" s="15" t="s">
        <v>180</v>
      </c>
      <c r="H278" s="14" t="s">
        <v>71</v>
      </c>
      <c r="I278" s="14" t="s">
        <v>89</v>
      </c>
      <c r="J278" s="14" t="s">
        <v>235</v>
      </c>
      <c r="K278" s="14" t="s">
        <v>398</v>
      </c>
      <c r="L278" s="15" t="s">
        <v>91</v>
      </c>
      <c r="M278" s="14" t="s">
        <v>2677</v>
      </c>
      <c r="N278" s="16" t="s">
        <v>2678</v>
      </c>
      <c r="O278" s="15"/>
      <c r="P278" s="15" t="n">
        <v>1985</v>
      </c>
      <c r="Q278" s="15" t="n">
        <f aca="false">IFERROR(VLOOKUP(J278,Parametros!$A$5:$B$9,2,FALSE()),0)</f>
        <v>2</v>
      </c>
      <c r="R278" s="15" t="n">
        <f aca="false">IFERROR(VLOOKUP(H278,Parametros!$D$5:$E$23,2,FALSE()),1)</f>
        <v>2</v>
      </c>
      <c r="S278" s="15" t="n">
        <f aca="false">IF(OR(N(O278)&gt;=Parametros!$H$9,AND(N(P278)&gt;0,N(P278)&lt;=Parametros!$H$10)),1,0)</f>
        <v>1</v>
      </c>
      <c r="T278" s="15" t="n">
        <f aca="false">Q278+R278+S278</f>
        <v>5</v>
      </c>
      <c r="U278" s="15" t="str">
        <f aca="false">IF(OR(V278="Inactive",V278="No encontrada",V278="Duplicado"),"Descartada",IF(AND(T278&gt;=Parametros!$H$5,S278=1),"A",IF(T278&gt;=Parametros!$H$6,"B","C")))</f>
        <v>B</v>
      </c>
      <c r="V278" s="17" t="s">
        <v>94</v>
      </c>
      <c r="W278" s="17"/>
      <c r="X278" s="14" t="s">
        <v>2679</v>
      </c>
      <c r="Y278" s="14"/>
      <c r="Z278" s="14" t="s">
        <v>2680</v>
      </c>
      <c r="AA278" s="14"/>
      <c r="AB278" s="14"/>
      <c r="AC278" s="16" t="s">
        <v>2681</v>
      </c>
      <c r="AD278" s="16" t="s">
        <v>2682</v>
      </c>
      <c r="AE278" s="16" t="s">
        <v>2683</v>
      </c>
      <c r="AF278" s="14"/>
      <c r="AG278" s="14" t="s">
        <v>1947</v>
      </c>
      <c r="AH278" s="14" t="s">
        <v>2673</v>
      </c>
    </row>
    <row r="279" customFormat="false" ht="23.85" hidden="false" customHeight="false" outlineLevel="0" collapsed="false">
      <c r="A279" s="14" t="s">
        <v>2684</v>
      </c>
      <c r="B279" s="14" t="s">
        <v>2685</v>
      </c>
      <c r="C279" s="14" t="s">
        <v>714</v>
      </c>
      <c r="D279" s="14"/>
      <c r="E279" s="14" t="s">
        <v>9</v>
      </c>
      <c r="F279" s="14" t="s">
        <v>2686</v>
      </c>
      <c r="G279" s="15" t="s">
        <v>180</v>
      </c>
      <c r="H279" s="14" t="s">
        <v>71</v>
      </c>
      <c r="I279" s="14" t="s">
        <v>115</v>
      </c>
      <c r="J279" s="14" t="s">
        <v>148</v>
      </c>
      <c r="K279" s="14" t="s">
        <v>312</v>
      </c>
      <c r="L279" s="15" t="s">
        <v>91</v>
      </c>
      <c r="M279" s="14" t="s">
        <v>2687</v>
      </c>
      <c r="N279" s="16" t="s">
        <v>2688</v>
      </c>
      <c r="O279" s="15"/>
      <c r="P279" s="15" t="n">
        <v>1983</v>
      </c>
      <c r="Q279" s="15" t="n">
        <f aca="false">IFERROR(VLOOKUP(J279,Parametros!$A$5:$B$9,2,FALSE()),0)</f>
        <v>3</v>
      </c>
      <c r="R279" s="15" t="n">
        <f aca="false">IFERROR(VLOOKUP(H279,Parametros!$D$5:$E$23,2,FALSE()),1)</f>
        <v>2</v>
      </c>
      <c r="S279" s="15" t="n">
        <f aca="false">IF(OR(N(O279)&gt;=Parametros!$H$9,AND(N(P279)&gt;0,N(P279)&lt;=Parametros!$H$10)),1,0)</f>
        <v>1</v>
      </c>
      <c r="T279" s="15" t="n">
        <f aca="false">Q279+R279+S279</f>
        <v>6</v>
      </c>
      <c r="U279" s="15" t="str">
        <f aca="false">IF(OR(V279="Inactive",V279="No encontrada",V279="Duplicado"),"Descartada",IF(AND(T279&gt;=Parametros!$H$5,S279=1),"A",IF(T279&gt;=Parametros!$H$6,"B","C")))</f>
        <v>A</v>
      </c>
      <c r="V279" s="17" t="s">
        <v>94</v>
      </c>
      <c r="W279" s="17"/>
      <c r="X279" s="14" t="s">
        <v>2689</v>
      </c>
      <c r="Y279" s="14"/>
      <c r="Z279" s="14" t="s">
        <v>2690</v>
      </c>
      <c r="AA279" s="16" t="s">
        <v>2691</v>
      </c>
      <c r="AB279" s="14"/>
      <c r="AC279" s="16" t="s">
        <v>2692</v>
      </c>
      <c r="AD279" s="16" t="s">
        <v>2693</v>
      </c>
      <c r="AE279" s="16" t="s">
        <v>2693</v>
      </c>
      <c r="AF279" s="14"/>
      <c r="AG279" s="14" t="s">
        <v>1947</v>
      </c>
      <c r="AH279" s="14" t="s">
        <v>2673</v>
      </c>
    </row>
    <row r="280" customFormat="false" ht="15" hidden="false" customHeight="false" outlineLevel="0" collapsed="false">
      <c r="A280" s="14" t="s">
        <v>2694</v>
      </c>
      <c r="B280" s="14" t="s">
        <v>2695</v>
      </c>
      <c r="C280" s="14" t="s">
        <v>714</v>
      </c>
      <c r="D280" s="14"/>
      <c r="E280" s="14" t="s">
        <v>9</v>
      </c>
      <c r="F280" s="14" t="s">
        <v>2696</v>
      </c>
      <c r="G280" s="15" t="s">
        <v>180</v>
      </c>
      <c r="H280" s="14" t="s">
        <v>71</v>
      </c>
      <c r="I280" s="14" t="s">
        <v>210</v>
      </c>
      <c r="J280" s="14" t="s">
        <v>199</v>
      </c>
      <c r="K280" s="14" t="s">
        <v>90</v>
      </c>
      <c r="L280" s="15" t="s">
        <v>91</v>
      </c>
      <c r="M280" s="14" t="s">
        <v>2697</v>
      </c>
      <c r="N280" s="16" t="s">
        <v>2698</v>
      </c>
      <c r="O280" s="15"/>
      <c r="P280" s="15" t="n">
        <v>1976</v>
      </c>
      <c r="Q280" s="15" t="n">
        <f aca="false">IFERROR(VLOOKUP(J280,Parametros!$A$5:$B$9,2,FALSE()),0)</f>
        <v>1</v>
      </c>
      <c r="R280" s="15" t="n">
        <f aca="false">IFERROR(VLOOKUP(H280,Parametros!$D$5:$E$23,2,FALSE()),1)</f>
        <v>2</v>
      </c>
      <c r="S280" s="15" t="n">
        <f aca="false">IF(OR(N(O280)&gt;=Parametros!$H$9,AND(N(P280)&gt;0,N(P280)&lt;=Parametros!$H$10)),1,0)</f>
        <v>1</v>
      </c>
      <c r="T280" s="15" t="n">
        <f aca="false">Q280+R280+S280</f>
        <v>4</v>
      </c>
      <c r="U280" s="15" t="str">
        <f aca="false">IF(OR(V280="Inactive",V280="No encontrada",V280="Duplicado"),"Descartada",IF(AND(T280&gt;=Parametros!$H$5,S280=1),"A",IF(T280&gt;=Parametros!$H$6,"B","C")))</f>
        <v>B</v>
      </c>
      <c r="V280" s="17" t="s">
        <v>94</v>
      </c>
      <c r="W280" s="17"/>
      <c r="X280" s="14" t="s">
        <v>2699</v>
      </c>
      <c r="Y280" s="14" t="s">
        <v>2700</v>
      </c>
      <c r="Z280" s="14" t="s">
        <v>2701</v>
      </c>
      <c r="AA280" s="16" t="s">
        <v>2702</v>
      </c>
      <c r="AB280" s="14"/>
      <c r="AC280" s="14"/>
      <c r="AD280" s="16" t="s">
        <v>2703</v>
      </c>
      <c r="AE280" s="16" t="s">
        <v>2704</v>
      </c>
      <c r="AF280" s="14"/>
      <c r="AG280" s="14"/>
      <c r="AH280" s="14" t="s">
        <v>2673</v>
      </c>
    </row>
    <row r="281" customFormat="false" ht="15" hidden="false" customHeight="false" outlineLevel="0" collapsed="false">
      <c r="A281" s="14" t="s">
        <v>2705</v>
      </c>
      <c r="B281" s="14" t="s">
        <v>2706</v>
      </c>
      <c r="C281" s="14" t="s">
        <v>1052</v>
      </c>
      <c r="D281" s="14"/>
      <c r="E281" s="14" t="s">
        <v>6</v>
      </c>
      <c r="F281" s="14" t="s">
        <v>2707</v>
      </c>
      <c r="G281" s="15" t="s">
        <v>1628</v>
      </c>
      <c r="H281" s="14" t="s">
        <v>1629</v>
      </c>
      <c r="I281" s="14" t="s">
        <v>210</v>
      </c>
      <c r="J281" s="14" t="s">
        <v>199</v>
      </c>
      <c r="K281" s="14" t="s">
        <v>90</v>
      </c>
      <c r="L281" s="15" t="s">
        <v>91</v>
      </c>
      <c r="M281" s="14" t="s">
        <v>2708</v>
      </c>
      <c r="N281" s="16" t="s">
        <v>2709</v>
      </c>
      <c r="O281" s="15"/>
      <c r="P281" s="15" t="n">
        <v>1992</v>
      </c>
      <c r="Q281" s="15" t="n">
        <f aca="false">IFERROR(VLOOKUP(J281,Parametros!$A$5:$B$9,2,FALSE()),0)</f>
        <v>1</v>
      </c>
      <c r="R281" s="15" t="n">
        <f aca="false">IFERROR(VLOOKUP(H281,Parametros!$D$5:$E$23,2,FALSE()),1)</f>
        <v>2</v>
      </c>
      <c r="S281" s="15" t="n">
        <f aca="false">IF(OR(N(O281)&gt;=Parametros!$H$9,AND(N(P281)&gt;0,N(P281)&lt;=Parametros!$H$10)),1,0)</f>
        <v>1</v>
      </c>
      <c r="T281" s="15" t="n">
        <f aca="false">Q281+R281+S281</f>
        <v>4</v>
      </c>
      <c r="U281" s="15" t="str">
        <f aca="false">IF(OR(V281="Inactive",V281="No encontrada",V281="Duplicado"),"Descartada",IF(AND(T281&gt;=Parametros!$H$5,S281=1),"A",IF(T281&gt;=Parametros!$H$6,"B","C")))</f>
        <v>B</v>
      </c>
      <c r="V281" s="17" t="s">
        <v>94</v>
      </c>
      <c r="W281" s="17"/>
      <c r="X281" s="14" t="s">
        <v>2710</v>
      </c>
      <c r="Y281" s="14" t="s">
        <v>2711</v>
      </c>
      <c r="Z281" s="14" t="s">
        <v>2712</v>
      </c>
      <c r="AA281" s="16" t="s">
        <v>2713</v>
      </c>
      <c r="AB281" s="14"/>
      <c r="AC281" s="14"/>
      <c r="AD281" s="16" t="s">
        <v>2714</v>
      </c>
      <c r="AE281" s="16" t="s">
        <v>2709</v>
      </c>
      <c r="AF281" s="14"/>
      <c r="AG281" s="14"/>
      <c r="AH281" s="14" t="s">
        <v>2715</v>
      </c>
    </row>
    <row r="282" customFormat="false" ht="15" hidden="false" customHeight="false" outlineLevel="0" collapsed="false">
      <c r="A282" s="14" t="s">
        <v>2716</v>
      </c>
      <c r="B282" s="14" t="s">
        <v>2717</v>
      </c>
      <c r="C282" s="14" t="s">
        <v>2326</v>
      </c>
      <c r="D282" s="14"/>
      <c r="E282" s="14" t="s">
        <v>9</v>
      </c>
      <c r="F282" s="14" t="s">
        <v>2715</v>
      </c>
      <c r="G282" s="15" t="s">
        <v>1628</v>
      </c>
      <c r="H282" s="14" t="s">
        <v>1629</v>
      </c>
      <c r="I282" s="14" t="s">
        <v>72</v>
      </c>
      <c r="J282" s="14" t="s">
        <v>148</v>
      </c>
      <c r="K282" s="14" t="s">
        <v>90</v>
      </c>
      <c r="L282" s="15" t="s">
        <v>91</v>
      </c>
      <c r="M282" s="14" t="s">
        <v>2718</v>
      </c>
      <c r="N282" s="16" t="s">
        <v>2719</v>
      </c>
      <c r="O282" s="15"/>
      <c r="P282" s="15" t="n">
        <v>1975</v>
      </c>
      <c r="Q282" s="15" t="n">
        <f aca="false">IFERROR(VLOOKUP(J282,Parametros!$A$5:$B$9,2,FALSE()),0)</f>
        <v>3</v>
      </c>
      <c r="R282" s="15" t="n">
        <f aca="false">IFERROR(VLOOKUP(H282,Parametros!$D$5:$E$23,2,FALSE()),1)</f>
        <v>2</v>
      </c>
      <c r="S282" s="15" t="n">
        <f aca="false">IF(OR(N(O282)&gt;=Parametros!$H$9,AND(N(P282)&gt;0,N(P282)&lt;=Parametros!$H$10)),1,0)</f>
        <v>1</v>
      </c>
      <c r="T282" s="15" t="n">
        <f aca="false">Q282+R282+S282</f>
        <v>6</v>
      </c>
      <c r="U282" s="15" t="str">
        <f aca="false">IF(OR(V282="Inactive",V282="No encontrada",V282="Duplicado"),"Descartada",IF(AND(T282&gt;=Parametros!$H$5,S282=1),"A",IF(T282&gt;=Parametros!$H$6,"B","C")))</f>
        <v>A</v>
      </c>
      <c r="V282" s="17" t="s">
        <v>94</v>
      </c>
      <c r="W282" s="17"/>
      <c r="X282" s="14" t="s">
        <v>2720</v>
      </c>
      <c r="Y282" s="14" t="s">
        <v>2721</v>
      </c>
      <c r="Z282" s="14" t="s">
        <v>2722</v>
      </c>
      <c r="AA282" s="16" t="s">
        <v>2723</v>
      </c>
      <c r="AB282" s="14"/>
      <c r="AC282" s="14"/>
      <c r="AD282" s="16" t="s">
        <v>2724</v>
      </c>
      <c r="AE282" s="16" t="s">
        <v>2725</v>
      </c>
      <c r="AF282" s="14"/>
      <c r="AG282" s="14"/>
      <c r="AH282" s="14" t="s">
        <v>2715</v>
      </c>
    </row>
    <row r="283" customFormat="false" ht="15" hidden="false" customHeight="false" outlineLevel="0" collapsed="false">
      <c r="A283" s="14" t="s">
        <v>2726</v>
      </c>
      <c r="B283" s="14" t="s">
        <v>2727</v>
      </c>
      <c r="C283" s="14" t="s">
        <v>1025</v>
      </c>
      <c r="D283" s="14"/>
      <c r="E283" s="14" t="s">
        <v>9</v>
      </c>
      <c r="F283" s="14" t="s">
        <v>2728</v>
      </c>
      <c r="G283" s="15" t="s">
        <v>1628</v>
      </c>
      <c r="H283" s="14" t="s">
        <v>1629</v>
      </c>
      <c r="I283" s="14" t="s">
        <v>72</v>
      </c>
      <c r="J283" s="14" t="s">
        <v>235</v>
      </c>
      <c r="K283" s="14" t="s">
        <v>61</v>
      </c>
      <c r="L283" s="15" t="s">
        <v>91</v>
      </c>
      <c r="M283" s="14" t="s">
        <v>2729</v>
      </c>
      <c r="N283" s="16" t="s">
        <v>2730</v>
      </c>
      <c r="O283" s="15"/>
      <c r="P283" s="15" t="n">
        <v>1993</v>
      </c>
      <c r="Q283" s="15" t="n">
        <f aca="false">IFERROR(VLOOKUP(J283,Parametros!$A$5:$B$9,2,FALSE()),0)</f>
        <v>2</v>
      </c>
      <c r="R283" s="15" t="n">
        <f aca="false">IFERROR(VLOOKUP(H283,Parametros!$D$5:$E$23,2,FALSE()),1)</f>
        <v>2</v>
      </c>
      <c r="S283" s="15" t="n">
        <f aca="false">IF(OR(N(O283)&gt;=Parametros!$H$9,AND(N(P283)&gt;0,N(P283)&lt;=Parametros!$H$10)),1,0)</f>
        <v>1</v>
      </c>
      <c r="T283" s="15" t="n">
        <f aca="false">Q283+R283+S283</f>
        <v>5</v>
      </c>
      <c r="U283" s="15" t="str">
        <f aca="false">IF(OR(V283="Inactive",V283="No encontrada",V283="Duplicado"),"Descartada",IF(AND(T283&gt;=Parametros!$H$5,S283=1),"A",IF(T283&gt;=Parametros!$H$6,"B","C")))</f>
        <v>B</v>
      </c>
      <c r="V283" s="17" t="s">
        <v>94</v>
      </c>
      <c r="W283" s="17"/>
      <c r="X283" s="14" t="s">
        <v>2731</v>
      </c>
      <c r="Y283" s="14" t="s">
        <v>2732</v>
      </c>
      <c r="Z283" s="14" t="s">
        <v>2733</v>
      </c>
      <c r="AA283" s="14"/>
      <c r="AB283" s="14"/>
      <c r="AC283" s="14"/>
      <c r="AD283" s="16" t="s">
        <v>2734</v>
      </c>
      <c r="AE283" s="16" t="s">
        <v>2735</v>
      </c>
      <c r="AF283" s="14"/>
      <c r="AG283" s="14" t="s">
        <v>1559</v>
      </c>
      <c r="AH283" s="14" t="s">
        <v>2715</v>
      </c>
    </row>
    <row r="284" customFormat="false" ht="15" hidden="false" customHeight="false" outlineLevel="0" collapsed="false">
      <c r="A284" s="14" t="s">
        <v>2736</v>
      </c>
      <c r="B284" s="14" t="s">
        <v>2737</v>
      </c>
      <c r="C284" s="14" t="s">
        <v>1025</v>
      </c>
      <c r="D284" s="14"/>
      <c r="E284" s="14" t="s">
        <v>9</v>
      </c>
      <c r="F284" s="14" t="s">
        <v>2715</v>
      </c>
      <c r="G284" s="15" t="s">
        <v>1628</v>
      </c>
      <c r="H284" s="14" t="s">
        <v>1629</v>
      </c>
      <c r="I284" s="14" t="s">
        <v>210</v>
      </c>
      <c r="J284" s="14" t="s">
        <v>199</v>
      </c>
      <c r="K284" s="14" t="s">
        <v>90</v>
      </c>
      <c r="L284" s="15" t="s">
        <v>91</v>
      </c>
      <c r="M284" s="14" t="s">
        <v>2738</v>
      </c>
      <c r="N284" s="16" t="s">
        <v>2739</v>
      </c>
      <c r="O284" s="15"/>
      <c r="P284" s="15" t="n">
        <v>1981</v>
      </c>
      <c r="Q284" s="15" t="n">
        <f aca="false">IFERROR(VLOOKUP(J284,Parametros!$A$5:$B$9,2,FALSE()),0)</f>
        <v>1</v>
      </c>
      <c r="R284" s="15" t="n">
        <f aca="false">IFERROR(VLOOKUP(H284,Parametros!$D$5:$E$23,2,FALSE()),1)</f>
        <v>2</v>
      </c>
      <c r="S284" s="15" t="n">
        <f aca="false">IF(OR(N(O284)&gt;=Parametros!$H$9,AND(N(P284)&gt;0,N(P284)&lt;=Parametros!$H$10)),1,0)</f>
        <v>1</v>
      </c>
      <c r="T284" s="15" t="n">
        <f aca="false">Q284+R284+S284</f>
        <v>4</v>
      </c>
      <c r="U284" s="15" t="str">
        <f aca="false">IF(OR(V284="Inactive",V284="No encontrada",V284="Duplicado"),"Descartada",IF(AND(T284&gt;=Parametros!$H$5,S284=1),"A",IF(T284&gt;=Parametros!$H$6,"B","C")))</f>
        <v>B</v>
      </c>
      <c r="V284" s="17" t="s">
        <v>94</v>
      </c>
      <c r="W284" s="17"/>
      <c r="X284" s="14" t="s">
        <v>2740</v>
      </c>
      <c r="Y284" s="14" t="s">
        <v>2741</v>
      </c>
      <c r="Z284" s="14" t="s">
        <v>2742</v>
      </c>
      <c r="AA284" s="16" t="s">
        <v>2743</v>
      </c>
      <c r="AB284" s="14"/>
      <c r="AC284" s="14"/>
      <c r="AD284" s="16" t="s">
        <v>2744</v>
      </c>
      <c r="AE284" s="16" t="s">
        <v>2745</v>
      </c>
      <c r="AF284" s="14"/>
      <c r="AG284" s="14"/>
      <c r="AH284" s="14" t="s">
        <v>2715</v>
      </c>
    </row>
    <row r="285" customFormat="false" ht="15" hidden="false" customHeight="false" outlineLevel="0" collapsed="false">
      <c r="A285" s="14" t="s">
        <v>2746</v>
      </c>
      <c r="B285" s="14" t="s">
        <v>2747</v>
      </c>
      <c r="C285" s="14" t="s">
        <v>984</v>
      </c>
      <c r="D285" s="14"/>
      <c r="E285" s="14" t="s">
        <v>6</v>
      </c>
      <c r="F285" s="14" t="s">
        <v>2748</v>
      </c>
      <c r="G285" s="15" t="s">
        <v>224</v>
      </c>
      <c r="H285" s="14" t="s">
        <v>225</v>
      </c>
      <c r="I285" s="14" t="s">
        <v>210</v>
      </c>
      <c r="J285" s="14" t="s">
        <v>235</v>
      </c>
      <c r="K285" s="14" t="s">
        <v>1226</v>
      </c>
      <c r="L285" s="15" t="s">
        <v>91</v>
      </c>
      <c r="M285" s="14" t="s">
        <v>2749</v>
      </c>
      <c r="N285" s="16" t="s">
        <v>2750</v>
      </c>
      <c r="O285" s="15"/>
      <c r="P285" s="15" t="n">
        <v>1986</v>
      </c>
      <c r="Q285" s="15" t="n">
        <f aca="false">IFERROR(VLOOKUP(J285,Parametros!$A$5:$B$9,2,FALSE()),0)</f>
        <v>2</v>
      </c>
      <c r="R285" s="15" t="n">
        <f aca="false">IFERROR(VLOOKUP(H285,Parametros!$D$5:$E$23,2,FALSE()),1)</f>
        <v>2</v>
      </c>
      <c r="S285" s="15" t="n">
        <f aca="false">IF(OR(N(O285)&gt;=Parametros!$H$9,AND(N(P285)&gt;0,N(P285)&lt;=Parametros!$H$10)),1,0)</f>
        <v>1</v>
      </c>
      <c r="T285" s="15" t="n">
        <f aca="false">Q285+R285+S285</f>
        <v>5</v>
      </c>
      <c r="U285" s="15" t="str">
        <f aca="false">IF(OR(V285="Inactive",V285="No encontrada",V285="Duplicado"),"Descartada",IF(AND(T285&gt;=Parametros!$H$5,S285=1),"A",IF(T285&gt;=Parametros!$H$6,"B","C")))</f>
        <v>B</v>
      </c>
      <c r="V285" s="17" t="s">
        <v>94</v>
      </c>
      <c r="W285" s="17"/>
      <c r="X285" s="14" t="s">
        <v>2751</v>
      </c>
      <c r="Y285" s="14" t="s">
        <v>2752</v>
      </c>
      <c r="Z285" s="14" t="s">
        <v>2753</v>
      </c>
      <c r="AA285" s="14"/>
      <c r="AB285" s="16" t="s">
        <v>2754</v>
      </c>
      <c r="AC285" s="14"/>
      <c r="AD285" s="16" t="s">
        <v>2755</v>
      </c>
      <c r="AE285" s="16" t="s">
        <v>2755</v>
      </c>
      <c r="AF285" s="14"/>
      <c r="AG285" s="14" t="s">
        <v>1559</v>
      </c>
      <c r="AH285" s="14" t="s">
        <v>2756</v>
      </c>
    </row>
    <row r="286" customFormat="false" ht="15" hidden="false" customHeight="false" outlineLevel="0" collapsed="false">
      <c r="A286" s="14" t="s">
        <v>2757</v>
      </c>
      <c r="B286" s="14" t="s">
        <v>2758</v>
      </c>
      <c r="C286" s="14" t="s">
        <v>2365</v>
      </c>
      <c r="D286" s="14"/>
      <c r="E286" s="14" t="s">
        <v>6</v>
      </c>
      <c r="F286" s="14" t="s">
        <v>2759</v>
      </c>
      <c r="G286" s="15" t="s">
        <v>224</v>
      </c>
      <c r="H286" s="14" t="s">
        <v>225</v>
      </c>
      <c r="I286" s="14" t="s">
        <v>210</v>
      </c>
      <c r="J286" s="14" t="s">
        <v>199</v>
      </c>
      <c r="K286" s="14" t="s">
        <v>90</v>
      </c>
      <c r="L286" s="15" t="s">
        <v>91</v>
      </c>
      <c r="M286" s="14" t="s">
        <v>2760</v>
      </c>
      <c r="N286" s="16" t="s">
        <v>2761</v>
      </c>
      <c r="O286" s="15"/>
      <c r="P286" s="15" t="n">
        <v>2001</v>
      </c>
      <c r="Q286" s="15" t="n">
        <f aca="false">IFERROR(VLOOKUP(J286,Parametros!$A$5:$B$9,2,FALSE()),0)</f>
        <v>1</v>
      </c>
      <c r="R286" s="15" t="n">
        <f aca="false">IFERROR(VLOOKUP(H286,Parametros!$D$5:$E$23,2,FALSE()),1)</f>
        <v>2</v>
      </c>
      <c r="S286" s="15" t="n">
        <f aca="false">IF(OR(N(O286)&gt;=Parametros!$H$9,AND(N(P286)&gt;0,N(P286)&lt;=Parametros!$H$10)),1,0)</f>
        <v>0</v>
      </c>
      <c r="T286" s="15" t="n">
        <f aca="false">Q286+R286+S286</f>
        <v>3</v>
      </c>
      <c r="U286" s="15" t="str">
        <f aca="false">IF(OR(V286="Inactive",V286="No encontrada",V286="Duplicado"),"Descartada",IF(AND(T286&gt;=Parametros!$H$5,S286=1),"A",IF(T286&gt;=Parametros!$H$6,"B","C")))</f>
        <v>C</v>
      </c>
      <c r="V286" s="17" t="s">
        <v>94</v>
      </c>
      <c r="W286" s="17"/>
      <c r="X286" s="14" t="s">
        <v>2762</v>
      </c>
      <c r="Y286" s="14" t="s">
        <v>2763</v>
      </c>
      <c r="Z286" s="14" t="s">
        <v>2764</v>
      </c>
      <c r="AA286" s="16" t="s">
        <v>2765</v>
      </c>
      <c r="AB286" s="14"/>
      <c r="AC286" s="14"/>
      <c r="AD286" s="16" t="s">
        <v>2766</v>
      </c>
      <c r="AE286" s="16" t="s">
        <v>2766</v>
      </c>
      <c r="AF286" s="14"/>
      <c r="AG286" s="14"/>
      <c r="AH286" s="14" t="s">
        <v>2756</v>
      </c>
    </row>
    <row r="287" customFormat="false" ht="23.85" hidden="false" customHeight="false" outlineLevel="0" collapsed="false">
      <c r="A287" s="14" t="s">
        <v>2767</v>
      </c>
      <c r="B287" s="14" t="s">
        <v>2768</v>
      </c>
      <c r="C287" s="14" t="s">
        <v>494</v>
      </c>
      <c r="D287" s="14" t="s">
        <v>536</v>
      </c>
      <c r="E287" s="14" t="s">
        <v>6</v>
      </c>
      <c r="F287" s="14" t="s">
        <v>2769</v>
      </c>
      <c r="G287" s="15" t="s">
        <v>224</v>
      </c>
      <c r="H287" s="14" t="s">
        <v>225</v>
      </c>
      <c r="I287" s="14" t="s">
        <v>89</v>
      </c>
      <c r="J287" s="14" t="s">
        <v>8</v>
      </c>
      <c r="K287" s="14" t="s">
        <v>73</v>
      </c>
      <c r="L287" s="15" t="s">
        <v>74</v>
      </c>
      <c r="M287" s="14" t="s">
        <v>2770</v>
      </c>
      <c r="N287" s="16" t="s">
        <v>117</v>
      </c>
      <c r="O287" s="15"/>
      <c r="P287" s="15"/>
      <c r="Q287" s="15" t="n">
        <f aca="false">IFERROR(VLOOKUP(J287,Parametros!$A$5:$B$9,2,FALSE()),0)</f>
        <v>3</v>
      </c>
      <c r="R287" s="15" t="n">
        <f aca="false">IFERROR(VLOOKUP(H287,Parametros!$D$5:$E$23,2,FALSE()),1)</f>
        <v>2</v>
      </c>
      <c r="S287" s="15" t="n">
        <f aca="false">IF(OR(N(O287)&gt;=Parametros!$H$9,AND(N(P287)&gt;0,N(P287)&lt;=Parametros!$H$10)),1,0)</f>
        <v>0</v>
      </c>
      <c r="T287" s="15" t="n">
        <f aca="false">Q287+R287+S287</f>
        <v>5</v>
      </c>
      <c r="U287" s="15" t="str">
        <f aca="false">IF(OR(V287="Inactive",V287="No encontrada",V287="Duplicado"),"Descartada",IF(AND(T287&gt;=Parametros!$H$5,S287=1),"A",IF(T287&gt;=Parametros!$H$6,"B","C")))</f>
        <v>B</v>
      </c>
      <c r="V287" s="17" t="s">
        <v>118</v>
      </c>
      <c r="W287" s="17"/>
      <c r="X287" s="14" t="s">
        <v>2771</v>
      </c>
      <c r="Y287" s="14" t="s">
        <v>2772</v>
      </c>
      <c r="Z287" s="14"/>
      <c r="AA287" s="14"/>
      <c r="AB287" s="14"/>
      <c r="AC287" s="14"/>
      <c r="AD287" s="14"/>
      <c r="AE287" s="16" t="s">
        <v>2773</v>
      </c>
      <c r="AF287" s="14"/>
      <c r="AG287" s="14" t="s">
        <v>100</v>
      </c>
      <c r="AH287" s="14" t="s">
        <v>2756</v>
      </c>
    </row>
    <row r="288" customFormat="false" ht="23.85" hidden="false" customHeight="false" outlineLevel="0" collapsed="false">
      <c r="A288" s="14" t="s">
        <v>2774</v>
      </c>
      <c r="B288" s="14" t="s">
        <v>2775</v>
      </c>
      <c r="C288" s="14" t="s">
        <v>670</v>
      </c>
      <c r="D288" s="14"/>
      <c r="E288" s="14" t="s">
        <v>9</v>
      </c>
      <c r="F288" s="14" t="s">
        <v>2776</v>
      </c>
      <c r="G288" s="15" t="s">
        <v>224</v>
      </c>
      <c r="H288" s="14" t="s">
        <v>225</v>
      </c>
      <c r="I288" s="14" t="s">
        <v>210</v>
      </c>
      <c r="J288" s="14" t="s">
        <v>8</v>
      </c>
      <c r="K288" s="14" t="s">
        <v>90</v>
      </c>
      <c r="L288" s="15" t="s">
        <v>91</v>
      </c>
      <c r="M288" s="14" t="s">
        <v>2777</v>
      </c>
      <c r="N288" s="16" t="s">
        <v>2778</v>
      </c>
      <c r="O288" s="15"/>
      <c r="P288" s="15" t="n">
        <v>2003</v>
      </c>
      <c r="Q288" s="15" t="n">
        <f aca="false">IFERROR(VLOOKUP(J288,Parametros!$A$5:$B$9,2,FALSE()),0)</f>
        <v>3</v>
      </c>
      <c r="R288" s="15" t="n">
        <f aca="false">IFERROR(VLOOKUP(H288,Parametros!$D$5:$E$23,2,FALSE()),1)</f>
        <v>2</v>
      </c>
      <c r="S288" s="15" t="n">
        <f aca="false">IF(OR(N(O288)&gt;=Parametros!$H$9,AND(N(P288)&gt;0,N(P288)&lt;=Parametros!$H$10)),1,0)</f>
        <v>0</v>
      </c>
      <c r="T288" s="15" t="n">
        <f aca="false">Q288+R288+S288</f>
        <v>5</v>
      </c>
      <c r="U288" s="15" t="str">
        <f aca="false">IF(OR(V288="Inactive",V288="No encontrada",V288="Duplicado"),"Descartada",IF(AND(T288&gt;=Parametros!$H$5,S288=1),"A",IF(T288&gt;=Parametros!$H$6,"B","C")))</f>
        <v>B</v>
      </c>
      <c r="V288" s="17" t="s">
        <v>94</v>
      </c>
      <c r="W288" s="17"/>
      <c r="X288" s="14" t="s">
        <v>2779</v>
      </c>
      <c r="Y288" s="14" t="s">
        <v>2780</v>
      </c>
      <c r="Z288" s="14"/>
      <c r="AA288" s="16" t="s">
        <v>2781</v>
      </c>
      <c r="AB288" s="14"/>
      <c r="AC288" s="14"/>
      <c r="AD288" s="16" t="s">
        <v>2778</v>
      </c>
      <c r="AE288" s="16" t="s">
        <v>2782</v>
      </c>
      <c r="AF288" s="14"/>
      <c r="AG288" s="14" t="s">
        <v>100</v>
      </c>
      <c r="AH288" s="14" t="s">
        <v>2756</v>
      </c>
    </row>
    <row r="289" customFormat="false" ht="15" hidden="false" customHeight="false" outlineLevel="0" collapsed="false">
      <c r="A289" s="14" t="s">
        <v>2783</v>
      </c>
      <c r="B289" s="14" t="s">
        <v>2784</v>
      </c>
      <c r="C289" s="14" t="s">
        <v>670</v>
      </c>
      <c r="D289" s="14"/>
      <c r="E289" s="14" t="s">
        <v>9</v>
      </c>
      <c r="F289" s="14" t="s">
        <v>2759</v>
      </c>
      <c r="G289" s="15" t="s">
        <v>224</v>
      </c>
      <c r="H289" s="14" t="s">
        <v>225</v>
      </c>
      <c r="I289" s="14" t="s">
        <v>210</v>
      </c>
      <c r="J289" s="14" t="s">
        <v>235</v>
      </c>
      <c r="K289" s="14" t="s">
        <v>211</v>
      </c>
      <c r="L289" s="15" t="s">
        <v>91</v>
      </c>
      <c r="M289" s="14" t="s">
        <v>2785</v>
      </c>
      <c r="N289" s="16" t="s">
        <v>2786</v>
      </c>
      <c r="O289" s="15"/>
      <c r="P289" s="15" t="n">
        <v>2015</v>
      </c>
      <c r="Q289" s="15" t="n">
        <f aca="false">IFERROR(VLOOKUP(J289,Parametros!$A$5:$B$9,2,FALSE()),0)</f>
        <v>2</v>
      </c>
      <c r="R289" s="15" t="n">
        <f aca="false">IFERROR(VLOOKUP(H289,Parametros!$D$5:$E$23,2,FALSE()),1)</f>
        <v>2</v>
      </c>
      <c r="S289" s="15" t="n">
        <f aca="false">IF(OR(N(O289)&gt;=Parametros!$H$9,AND(N(P289)&gt;0,N(P289)&lt;=Parametros!$H$10)),1,0)</f>
        <v>0</v>
      </c>
      <c r="T289" s="15" t="n">
        <f aca="false">Q289+R289+S289</f>
        <v>4</v>
      </c>
      <c r="U289" s="15" t="str">
        <f aca="false">IF(OR(V289="Inactive",V289="No encontrada",V289="Duplicado"),"Descartada",IF(AND(T289&gt;=Parametros!$H$5,S289=1),"A",IF(T289&gt;=Parametros!$H$6,"B","C")))</f>
        <v>B</v>
      </c>
      <c r="V289" s="17" t="s">
        <v>94</v>
      </c>
      <c r="W289" s="17"/>
      <c r="X289" s="14" t="s">
        <v>2787</v>
      </c>
      <c r="Y289" s="14" t="s">
        <v>2788</v>
      </c>
      <c r="Z289" s="14" t="s">
        <v>2789</v>
      </c>
      <c r="AA289" s="16" t="s">
        <v>2790</v>
      </c>
      <c r="AB289" s="16" t="s">
        <v>2791</v>
      </c>
      <c r="AC289" s="14"/>
      <c r="AD289" s="16" t="s">
        <v>2792</v>
      </c>
      <c r="AE289" s="16" t="s">
        <v>2786</v>
      </c>
      <c r="AF289" s="14"/>
      <c r="AG289" s="14" t="s">
        <v>1559</v>
      </c>
      <c r="AH289" s="14" t="s">
        <v>2756</v>
      </c>
    </row>
  </sheetData>
  <autoFilter ref="A4:AH289"/>
  <conditionalFormatting sqref="U5:U289">
    <cfRule type="cellIs" priority="2" operator="equal" aboveAverage="0" equalAverage="0" bottom="0" percent="0" rank="0" text="" dxfId="8">
      <formula>"A"</formula>
    </cfRule>
    <cfRule type="cellIs" priority="3" operator="equal" aboveAverage="0" equalAverage="0" bottom="0" percent="0" rank="0" text="" dxfId="9">
      <formula>"B"</formula>
    </cfRule>
  </conditionalFormatting>
  <conditionalFormatting sqref="J5:J289">
    <cfRule type="expression" priority="4" aboveAverage="0" equalAverage="0" bottom="0" percent="0" rank="0" text="" dxfId="10">
      <formula>OR(J5="Sin sitio web",J5="Sitio obsoleto")</formula>
    </cfRule>
  </conditionalFormatting>
  <dataValidations count="2">
    <dataValidation allowBlank="true" errorStyle="stop" operator="between" showDropDown="false" showErrorMessage="false" showInputMessage="false" sqref="V5:V289" type="list">
      <formula1>"Active,Inactive,Pendiente,No encontrada,Duplicado"</formula1>
      <formula2>0</formula2>
    </dataValidation>
    <dataValidation allowBlank="true" errorStyle="stop" operator="between" showDropDown="false" showErrorMessage="false" showInputMessage="false" sqref="W5:W289" type="list">
      <formula1>"Verificar web en Google Maps,Auditoría web,Email B2B 1 a 1,Visita presencial,Descartar"</formula1>
      <formula2>0</formula2>
    </dataValidation>
  </dataValidations>
  <hyperlinks>
    <hyperlink ref="N5" r:id="rId1" display="https://www.manta.com/c/mmn1h0x/jonel-knitting-mills-inc"/>
    <hyperlink ref="AE5" r:id="rId2" display="https://us.o2osell.com/shops/jonel-knitting-mills"/>
    <hyperlink ref="N6" r:id="rId3" display="https://www.manta.com/c/mmcwr0p/steel-works-rebar-fabricators-llc"/>
    <hyperlink ref="AA6" r:id="rId4" display="https://www.facebook.com/SteelWorksRebar/"/>
    <hyperlink ref="AD6" r:id="rId5" display="https://www.yelp.com/biz/steel-works-rebarb-fabricators-medley"/>
    <hyperlink ref="AE6" r:id="rId6" display="https://www.thebluebook.com/iProView/771162/steel-works-rebar-fabricators/material-suppliers"/>
    <hyperlink ref="N7" r:id="rId7" display="https://www.yellowpages.com/medley-fl/mip/all-welding-and-machine-shop-inc-474064250"/>
    <hyperlink ref="AE7" r:id="rId8" display="https://www.yellowpages.com/medley-fl/mip/all-welding-and-machine-shop-inc-474064250"/>
    <hyperlink ref="N8" r:id="rId9" display="https://search.sunbiz.org/Inquiry/CorporationSearch/ByName"/>
    <hyperlink ref="N9" r:id="rId10" display="https://www.bbb.org/us/fl/homestead/profile/paving-contractors/florida-paving-trucking-inc-0633-5003759"/>
    <hyperlink ref="AE9" r:id="rId11" display="https://www.bbb.org/us/fl/homestead/profile/paving-contractors/florida-paving-trucking-inc-0633-5003759"/>
    <hyperlink ref="N10" r:id="rId12" display="https://www.manta.com/c/mm2vydb/marante-forwarding-co-inc"/>
    <hyperlink ref="AE10" r:id="rId13" display="https://www.manta.com/c/mm2vydb/marante-forwarding-co-inc"/>
    <hyperlink ref="N11" r:id="rId14" display="http://www.truckbrokeragebynational.com/"/>
    <hyperlink ref="AE11" r:id="rId15" display="http://www.truckbrokeragebynational.com/Contact-Us.html"/>
    <hyperlink ref="N12" r:id="rId16" display="https://www.constructgroupcorp.com/"/>
    <hyperlink ref="AD12" r:id="rId17" display="https://www.yelp.com/biz/construct-group-corporation-hialeah"/>
    <hyperlink ref="AE12" r:id="rId18" display="https://local.yahoo.com/info-195070502-construct-group-corp-hialeah-gardens/"/>
    <hyperlink ref="N13" r:id="rId19" display="https://www.buildzoom.com/contractor/professional-plumbing-corp"/>
    <hyperlink ref="AA13" r:id="rId20" display="https://www.facebook.com/p/Professional-Plumbing-Corp-100068491297165/"/>
    <hyperlink ref="AD13" r:id="rId21" display="https://www.yelp.com/biz/professional-plumbing-hialeah"/>
    <hyperlink ref="AE13" r:id="rId22" display="http://www.proplumb.net/contact_us.php"/>
    <hyperlink ref="N14" r:id="rId23" display="https://www.manta.com/c/mhx9tn8/aa-florida-pallets-inc"/>
    <hyperlink ref="AE14" r:id="rId24" display="http://aafloridapallets.com/contact/"/>
    <hyperlink ref="N15" r:id="rId25" display="https://www.carriersource.io/carriers/high-quality-trucking-inc"/>
    <hyperlink ref="AE15" r:id="rId26" display="https://bubba.ai/trucking-companies/florida/medley/high-quality-trucking-inc-1571543"/>
    <hyperlink ref="N16" r:id="rId27" display="https://www.facebook.com/hialeahbakery/"/>
    <hyperlink ref="AA16" r:id="rId28" display="https://www.facebook.com/hialeahbakery/"/>
    <hyperlink ref="AD16" r:id="rId29" display="https://www.yelp.com/biz/hialeah-bakery-hialeah"/>
    <hyperlink ref="AE16" r:id="rId30" display="https://www.yellowpages.com/hialeah-fl/mip/hialeah-bakery-and-foods-inc-516471321"/>
    <hyperlink ref="N17" r:id="rId31" display="https://www.yelp.com/biz/los-tres-conejitos-bakery-hialeah"/>
    <hyperlink ref="AA17" r:id="rId32" display="https://www.facebook.com/p/Los-3-Conejitos-Bakery-100065355975126/"/>
    <hyperlink ref="AB17" r:id="rId33" display="https://www.instagram.com/los3conejitosbakery/"/>
    <hyperlink ref="AD17" r:id="rId34" display="https://www.yelp.com/biz/los-tres-conejitos-bakery-hialeah"/>
    <hyperlink ref="AE17" r:id="rId35" display="https://www.yellowpages.com/hialeah-fl/mip/los-tres-conejitos-bakery-9677333"/>
    <hyperlink ref="N18" r:id="rId36" display="https://www.yelp.com/biz/tango-body-shop-hialeah"/>
    <hyperlink ref="AD18" r:id="rId37" display="https://www.yelp.com/biz/tango-body-shop-hialeah"/>
    <hyperlink ref="AE18" r:id="rId38" display="https://www.showmelocal.com/profile.aspx?bid=8986658"/>
    <hyperlink ref="N19" r:id="rId39" display="https://www.bbb.org/us/fl/hialeah/profile/auto-body-repair-and-painting/procollision-center-llc-0633-90024812"/>
    <hyperlink ref="AA19" r:id="rId40" display="https://www.facebook.com/procollision75/"/>
    <hyperlink ref="AD19" r:id="rId41" display="https://www.yelp.com/biz/pro-collision-center-hialeah"/>
    <hyperlink ref="AE19" r:id="rId42" display="https://www.yelp.com/biz/pro-collision-center-hialeah"/>
    <hyperlink ref="N20" r:id="rId43" display="https://www.manta.com/c/mm43fmb/sari-express-forwarders-inc"/>
    <hyperlink ref="AD20" r:id="rId44" display="https://www.yelp.com/biz/sari-express-forwarders-hialeah"/>
    <hyperlink ref="AE20" r:id="rId45" display="https://local.yahoo.com/info-14171006-sari-express-forwarders-incorporated-hialeah"/>
    <hyperlink ref="N21" r:id="rId46" display="https://www.manta.com/mb_55_B52DB05K_33S/freight_forwarding/hialeah_fl"/>
    <hyperlink ref="AE21" r:id="rId47" display="https://www.yellowpages.com/hialeah-fl/mip/global-cargo-connection-inc-28687289"/>
    <hyperlink ref="N22" r:id="rId48" display="https://local.yahoo.com/info-211983306-marante-distributors-corp-hialeah/"/>
    <hyperlink ref="AE22" r:id="rId49" display="https://local.yahoo.com/info-211983306-marante-distributors-corp-hialeah/"/>
    <hyperlink ref="N23" r:id="rId50" display="https://www.yelp.com/biz/medina-and-son-plumbing-supply-hialeah"/>
    <hyperlink ref="AA23" r:id="rId51" display="https://www.facebook.com/p/Medina-Sons-Plumbing-Supply-100066909060360/"/>
    <hyperlink ref="AD23" r:id="rId52" display="https://www.yelp.com/biz/medina-and-son-plumbing-supply-hialeah"/>
    <hyperlink ref="AE23" r:id="rId53" display="https://www.yellowpages.com/hialeah-fl/mip/medina-son-plumbing-supply-inc-480070831"/>
    <hyperlink ref="N24" r:id="rId54" display="https://www.manta.com/c/mmf1sbc/manny-s-plumbing-service"/>
    <hyperlink ref="AD24" r:id="rId55" display="https://www.yelp.com/biz/mannys-plumbing-service-hialeah"/>
    <hyperlink ref="AE24" r:id="rId56" display="https://local.yahoo.com/info-14173587-manny-s-plumbing-service-hialeah/"/>
    <hyperlink ref="N25" r:id="rId57" display="https://www.bbb.org/us/fl/hialeah/profile/impact-windows/all-star-aluminum-windows-doors-inc-0633-90034252"/>
    <hyperlink ref="AA25" r:id="rId58" display="https://www.facebook.com/ALLSTARALUMINUMWINDOWS/"/>
    <hyperlink ref="AD25" r:id="rId59" display="https://www.yelp.com/biz/all-star-aluminum-window-and-doors-hialeah"/>
    <hyperlink ref="AE25" r:id="rId60" display="https://allstaraluminum.com/contact/"/>
    <hyperlink ref="N26" r:id="rId61" display="https://www.manta.com/c/mtqlxt4/panther-co-inc"/>
    <hyperlink ref="AA26" r:id="rId62" display="https://www.facebook.com/PantherandCo/"/>
    <hyperlink ref="AB26" r:id="rId63" display="https://www.instagram.com/panthertrucking/"/>
    <hyperlink ref="AE26" r:id="rId64" display="https://www.manta.com/c/mtqlxt4/panther-co-inc"/>
    <hyperlink ref="N27" r:id="rId65" display="https://www.yellowpages.com/medley-fl/medley-steel-and-supply-inc"/>
    <hyperlink ref="AA27" r:id="rId66" display="https://www.facebook.com/Medleysteelsupply/"/>
    <hyperlink ref="AC27" r:id="rId67" display="https://www.linkedin.com/company/medley-steel-&amp;-supply-inc"/>
    <hyperlink ref="AD27" r:id="rId68" display="https://www.yelp.com/biz/medley-steel-supply-medley"/>
    <hyperlink ref="AE27" r:id="rId69" display="https://medleysteel.com/contact"/>
    <hyperlink ref="N28" r:id="rId70" display="https://www.facebook.com/amigopallets/"/>
    <hyperlink ref="AA28" r:id="rId71" display="https://www.facebook.com/amigopallets/"/>
    <hyperlink ref="AC28" r:id="rId72" display="https://www.linkedin.com/company/amigo-pallets-florida"/>
    <hyperlink ref="AE28" r:id="rId73" display="https://amigopallets.com/contact-us/"/>
    <hyperlink ref="N29" r:id="rId74" display="https://www.dnb.com/business-directory/company-profiles.medley_machine_shop_inc.b0232bd608d5d99948dd3a3504105627.html"/>
    <hyperlink ref="AD29" r:id="rId75" display="https://www.yelp.com/biz/medley-machine-shop-and-welding-service-medley"/>
    <hyperlink ref="AE29" r:id="rId76" display="https://www.medleymachine.com/contact"/>
    <hyperlink ref="N30" r:id="rId77" display="https://www.yelp.com/biz/pablos-machine-shop-and-welding-corp-medley"/>
    <hyperlink ref="AD30" r:id="rId78" display="https://www.yelp.com/biz/pablos-machine-shop-and-welding-corp-medley"/>
    <hyperlink ref="AE30" r:id="rId79" display="https://local.yahoo.com/info-102811657-pablo-s-machine-shop-welding-corp-medley/"/>
    <hyperlink ref="N31" r:id="rId80" display="https://www.manta.com/c/mm4dqwp/gondia-machine-shop"/>
    <hyperlink ref="AD31" r:id="rId81" display="https://www.yelp.com/biz/gondia-machine-shop-medley"/>
    <hyperlink ref="AE31" r:id="rId82" display="https://www.yellowpages.com/medley-fl/mip/gondia-machine-shop-inc-5836328"/>
    <hyperlink ref="N32" r:id="rId83" display="https://www.manta.com/c/mhcrbf8/super-diesel-truck-repair-inc"/>
    <hyperlink ref="AD32" r:id="rId84" display="https://www.yelp.com/biz/super-diesel-truck-repair-medley"/>
    <hyperlink ref="AE32" r:id="rId85" display="https://www.yellowpages.com/medley-fl/mip/super-diesel-truck-repair-9289623"/>
    <hyperlink ref="N33" r:id="rId86" display="https://www.yelp.com/biz/larosa-diesel-mechanical-medley"/>
    <hyperlink ref="AD33" r:id="rId87" display="https://www.yelp.com/biz/larosa-diesel-mechanical-medley"/>
    <hyperlink ref="AE33" r:id="rId88" display="https://larosadieselmechanical.com/"/>
    <hyperlink ref="N34" r:id="rId89" display="https://www.yelp.com/biz/cyma-truck-repair-medley"/>
    <hyperlink ref="AA34" r:id="rId90" display="https://www.facebook.com/CymaTruckRepairsCorp/"/>
    <hyperlink ref="AD34" r:id="rId91" display="https://www.yelp.com/biz/cyma-truck-repair-medley"/>
    <hyperlink ref="AE34" r:id="rId92" display="https://www.yelp.com/biz/cyma-truck-repair-medley"/>
    <hyperlink ref="N35" r:id="rId93" display="https://www.manta.com/c/mm21vw1/international-cruise-food-hotel-suppliers-inc"/>
    <hyperlink ref="AC35" r:id="rId94" display="https://www.linkedin.com/company/international-cruise-food-hotel-suppliers-inc"/>
    <hyperlink ref="AE35" r:id="rId95" display="https://icfh.com/contact-us/"/>
    <hyperlink ref="N36" r:id="rId96" display="https://www.allsteelproducts.com/index.html"/>
    <hyperlink ref="AC36" r:id="rId97" display="https://www.linkedin.com/company/allsteel-&amp;-gypsum-inc"/>
    <hyperlink ref="AD36" r:id="rId98" display="https://www.yelp.com/biz/allsteel-and-gypsum-medley-2"/>
    <hyperlink ref="AE36" r:id="rId99" display="https://www.allsteelproducts.com/contact.php"/>
    <hyperlink ref="N37" r:id="rId100" display="https://buildingrenewable.com/12-best-precast-concrete-construction-companies-in-florida/"/>
    <hyperlink ref="AA37" r:id="rId101" display="https://www.facebook.com/spimiami/"/>
    <hyperlink ref="AC37" r:id="rId102" display="https://www.linkedin.com/company/structural-prestressed-industries-inc-"/>
    <hyperlink ref="AE37" r:id="rId103" display="http://www.buzzfile.com/business/SPI-305-556-6699"/>
    <hyperlink ref="N38" r:id="rId104" display="https://www.manta.com/c/mm33hkb/doral-freight-logistics-inc"/>
    <hyperlink ref="AD38" r:id="rId105" display="https://m.yelp.com/biz/doral-freight-logistics-doral"/>
    <hyperlink ref="AE38" r:id="rId106" display="https://doralfreight.com/doral-freight/contact-us/"/>
    <hyperlink ref="N39" r:id="rId107" display="https://www.manta.com/c/mmgmgjl/senaduana-freight-forwarders-inc"/>
    <hyperlink ref="AD39" r:id="rId108" display="https://www.yelp.com/biz/senaduana-freight-forwarders-doral"/>
    <hyperlink ref="AE39" r:id="rId109" display="https://www.chamberofcommerce.com/business-directory/florida/doral/freight-forwarding-service/2002172929-senaduana-freight-forwarders"/>
    <hyperlink ref="N40" r:id="rId110" display="https://www.manta.com/c/mhks6tw/conavenca-freight-forwarder-llc"/>
    <hyperlink ref="AA40" r:id="rId111" display="https://www.facebook.com/conavenca/"/>
    <hyperlink ref="AE40" r:id="rId112" display="https://freight-forwarding-companies.cmac.ws/conavenca-freight-forwarder/14222/"/>
    <hyperlink ref="N41" r:id="rId113" display="https://www.manta.com/c/mbg66v7/tmc-import-export-co"/>
    <hyperlink ref="N42" r:id="rId114" display="https://www.bizapedia.com/fl/barahonas-food-distributor-llc.html"/>
    <hyperlink ref="AE42" r:id="rId115" display="https://www.yellowpages.com/doral-fl/mip/barahonas-food-distributor-547632699"/>
    <hyperlink ref="N43" r:id="rId116" display="https://www.bizapedia.com/fl/loman-distributors-inc.html"/>
    <hyperlink ref="AD43" r:id="rId117" display="https://www.yelp.com/biz/loman-distributers-doral"/>
    <hyperlink ref="AE43" r:id="rId118" display="https://fabric-stores.cmac.ws/loman-distributors/11229/"/>
    <hyperlink ref="N44" r:id="rId119" display="https://www.facebook.com/kkdentaldoral/"/>
    <hyperlink ref="AA44" r:id="rId120" display="https://www.facebook.com/kkdentaldoral/"/>
    <hyperlink ref="AB44" r:id="rId121" display="https://www.instagram.com/kkdental/"/>
    <hyperlink ref="AE44" r:id="rId122" display="https://www.patientconnect365.com/MicrositeContact/Florida/Doral/33172/K__K_Dental"/>
    <hyperlink ref="N45" r:id="rId123" display="https://www.facebook.com/doralfamilydentalfl/"/>
    <hyperlink ref="AA45" r:id="rId124" display="https://www.facebook.com/doralfamilydentalfl/"/>
    <hyperlink ref="AD45" r:id="rId125" display="https://www.yelp.com/biz/doral-family-dental-doral"/>
    <hyperlink ref="AE45" r:id="rId126" display="https://doralfamilydental.com/about/"/>
    <hyperlink ref="N46" r:id="rId127" display="https://www.bbb.org/us/fl/miami/profile/organic-food/brothers-produce-inc-0633-90067698"/>
    <hyperlink ref="AD46" r:id="rId128" display="https://www.yelp.com/biz/brothers-produce-miami"/>
    <hyperlink ref="AE46" r:id="rId129" display="https://www.yellowpages.com/miami-fl/mip/brothers-produce-inc-566403749"/>
    <hyperlink ref="N47" r:id="rId130" display="https://www.yelp.com/biz/4-u-unlimited-miami"/>
    <hyperlink ref="AD47" r:id="rId131" display="https://www.yelp.com/biz/4-u-unlimited-miami"/>
    <hyperlink ref="AE47" r:id="rId132" display="https://www.yellowpages.com/miami-fl/mip/4-u-unlimited-6865283"/>
    <hyperlink ref="N48" r:id="rId133" display="https://excellentfruitandproduce.com/about-us/"/>
    <hyperlink ref="AA48" r:id="rId134" display="https://www.facebook.com/excellentfruitandproduce/"/>
    <hyperlink ref="AB48" r:id="rId135" display="https://www.instagram.com/excellent_fruit_and_produce/"/>
    <hyperlink ref="AC48" r:id="rId136" display="https://www.linkedin.com/company/excellent-fruit-&amp;-produce"/>
    <hyperlink ref="AD48" r:id="rId137" display="https://www.yelp.com/biz/excellent-fruit-and-produce-miami"/>
    <hyperlink ref="AE48" r:id="rId138" display="https://excellentfruitandproduce.com/contact/"/>
    <hyperlink ref="N49" r:id="rId139" display="https://www.yelp.com/biz/martinez-distributors-miami-2"/>
    <hyperlink ref="AA49" r:id="rId140" display="https://www.facebook.com/MartinezDistributors/"/>
    <hyperlink ref="AD49" r:id="rId141" display="https://www.yelp.com/biz/martinez-distributors-miami-2"/>
    <hyperlink ref="AE49" r:id="rId142" display="https://www.mdist.us/contact"/>
    <hyperlink ref="N50" r:id="rId143" display="https://www.facebook.com/reydelasfritas/"/>
    <hyperlink ref="AA50" r:id="rId144" display="https://www.facebook.com/reydelasfritas/"/>
    <hyperlink ref="AB50" r:id="rId145" display="https://www.instagram.com/reydelasfritas/"/>
    <hyperlink ref="AD50" r:id="rId146" display="https://www.yelp.com/biz/el-rey-de-las-fritas-miami"/>
    <hyperlink ref="AE50" r:id="rId147" display="https://www.elreydelasfritas.com/contact"/>
    <hyperlink ref="N51" r:id="rId148" display="https://www.neighborhoods.com/blog/cuban-restaurants-in-little-havana-you-cant-miss"/>
    <hyperlink ref="AA51" r:id="rId149" display="https://www.facebook.com/exquisitomiami/"/>
    <hyperlink ref="AD51" r:id="rId150" display="https://www.yelp.com/biz/el-exquisito-miami-2"/>
    <hyperlink ref="AE51" r:id="rId151" display="https://www.tripadvisor.com/Restaurant_Review-g34438-d34598756-Reviews-El_Exquisito-Miami_Florida.html"/>
    <hyperlink ref="N52" r:id="rId152" display="https://www.bbb.org/us/fl/miami/profile/heating-and-air-conditioning/kendale-air-conditioning-0633-23009691"/>
    <hyperlink ref="AA52" r:id="rId153" display="https://www.facebook.com/air.repair.miami/"/>
    <hyperlink ref="AC52" r:id="rId154" display="https://www.linkedin.com/company/kendale-air-conditioning"/>
    <hyperlink ref="AD52" r:id="rId155" display="https://www.yelp.com/biz/kendale-air-conditioning-miami"/>
    <hyperlink ref="AE52" r:id="rId156" display="https://www.yelp.com/biz/kendale-air-conditioning-miami"/>
    <hyperlink ref="N53" r:id="rId157" display="https://doctor.webmd.com/practice/kendall-south-medical-center-inc-422a0a48-1a37-46b1-973c-95ba062d11e3"/>
    <hyperlink ref="AA53" r:id="rId158" display="https://www.facebook.com/KendallSouthMedicalCenter/"/>
    <hyperlink ref="AC53" r:id="rId159" display="https://www.linkedin.com/company/kendall-south-medical-center-inc"/>
    <hyperlink ref="AD53" r:id="rId160" display="https://www.yelp.com/biz/kendall-south-medical-center-miami"/>
    <hyperlink ref="AE53" r:id="rId161" display="https://www.healthgrades.com/group-directory/fl-florida/miami/kendall-south-medical-centre-xtjrlc"/>
    <hyperlink ref="N54" r:id="rId162" display="https://doctor.webmd.com/practice/kendall-medical-center-inc-773643c8-4703-e211-a42b-001f29e3eb44-physicians/alpha/all"/>
    <hyperlink ref="AD54" r:id="rId163" display="https://www.yelp.com/biz/kendall-medical-center-miami"/>
    <hyperlink ref="AE54" r:id="rId164" display="https://www.healthgrades.com/group-directory/fl-florida/miami/kendall-medical-center-x8lgvn"/>
    <hyperlink ref="N55" r:id="rId165" display="https://www.bbb.org/us/fl/homestead/profile/auto-repair/krome-auto-tire-svc-0633-90269976"/>
    <hyperlink ref="AD55" r:id="rId166" display="https://www.yelp.com/biz/krome-auto-and-tire-homestead"/>
    <hyperlink ref="AE55" r:id="rId167" display="https://www.yelp.com/biz/krome-auto-and-tire-homestead"/>
    <hyperlink ref="N56" r:id="rId168" display="https://www.facebook.com/rplantsinc/"/>
    <hyperlink ref="AA56" r:id="rId169" display="https://www.facebook.com/rplantsinc/"/>
    <hyperlink ref="AD56" r:id="rId170" display="https://www.yelp.com/biz/r-plants-homestead-2"/>
    <hyperlink ref="AE56" r:id="rId171" display="https://www.rplantsinc.com/contact"/>
    <hyperlink ref="N57" r:id="rId172" display="https://www.manta.com/c/mvvd9cj/liner-growers-nursery"/>
    <hyperlink ref="AA57" r:id="rId173" display="https://www.facebook.com/p/Liner-Growers-Nursery-100064570097118/"/>
    <hyperlink ref="AD57" r:id="rId174" display="https://www.yelp.com/biz/liner-growers-nursery-homestead-3"/>
    <hyperlink ref="AE57" r:id="rId175" display="https://www.yellowpages.com/homestead-fl/mip/liner-growers-nursery-459005189"/>
    <hyperlink ref="N58" r:id="rId176" display="https://www.manta.com/mb_55_B80C105M_345/nursery_stock/homestead_fl"/>
    <hyperlink ref="AA58" r:id="rId177" display="https://www.facebook.com/p/Manuel-Diaz-Farms-100068054691116/"/>
    <hyperlink ref="AE58" r:id="rId178" display="https://www.manueldiazfarms.com/contact-us/"/>
    <hyperlink ref="N59" r:id="rId179" display="https://www.manta.com/mb_55_B80C105M_345/nursery_stock/homestead_fl"/>
    <hyperlink ref="AA59" r:id="rId180" display="https://www.facebook.com/QualityGrowersInc/"/>
    <hyperlink ref="AE59" r:id="rId181" display="https://www.yellowpages.com/homestead-fl/mip/quality-growers-inc-13649572"/>
    <hyperlink ref="N60" r:id="rId182" display="https://www.manta.com/mb_55_B80C105M_345/nursery_stock/homestead_fl"/>
    <hyperlink ref="AD60" r:id="rId183" display="https://www.yelp.com/biz/medallion-trees-farms-homestead"/>
    <hyperlink ref="AE60" r:id="rId184" display="https://www.yelp.com/biz/medallion-trees-farms-homestead"/>
    <hyperlink ref="N61" r:id="rId185" display="https://ediblesouthflorida.ediblecommunities.com/eat/fresh-demand-local-produce-longtime-homestead-farm/"/>
    <hyperlink ref="AE61" r:id="rId186" display="https://www.bbb.org/us/fl/homestead/profile/farm/sam-s-accursio-and-sons-farms-inc-0633-92023619"/>
    <hyperlink ref="N62" r:id="rId187" display="https://www.yelp.com/biz/sudsies-dry-cleaners-miami-beach"/>
    <hyperlink ref="AA62" r:id="rId188" display="https://www.facebook.com/SudsiesDryCleanersMiamiBeachBoutique/"/>
    <hyperlink ref="AD62" r:id="rId189" display="https://www.yelp.com/biz/sudsies-dry-cleaners-miami-beach"/>
    <hyperlink ref="AE62" r:id="rId190" display="https://www.yelp.com/biz/sudsies-dry-cleaners-miami-beach"/>
    <hyperlink ref="N63" r:id="rId191" display="https://www.yelp.com/biz/complete-yacht-service-fort-lauderdale"/>
    <hyperlink ref="AA63" r:id="rId192" display="https://www.facebook.com/p/Complete-Yacht-Service-100063575679442/"/>
    <hyperlink ref="AD63" r:id="rId193" display="https://www.yelp.com/biz/complete-yacht-service-fort-lauderdale"/>
    <hyperlink ref="AE63" r:id="rId194" display="https://www.yelp.com/biz/complete-yacht-service-fort-lauderdale"/>
    <hyperlink ref="N64" r:id="rId195" display="https://www.bbb.org/us/fl/ft-lauderdale/profile/boat-repair/superior-stainless-yacht-repair-0633-11011513"/>
    <hyperlink ref="AA64" r:id="rId196" display="https://www.facebook.com/p/Superior-Stainless-100069480037926/"/>
    <hyperlink ref="AE64" r:id="rId197" display="https://www.bbb.org/us/fl/ft-lauderdale/profile/boat-repair/superior-stainless-yacht-repair-0633-11011513"/>
    <hyperlink ref="N65" r:id="rId198" display="https://www.bbb.org/us/fl/fort-lauderdale/profile/boat-repair/top-quality-yachts-refinishing-refurbishing-0633-4006026"/>
    <hyperlink ref="AE65" r:id="rId199" display="https://www.bbb.org/us/fl/fort-lauderdale/profile/boat-repair/top-quality-yachts-refinishing-refurbishing-0633-4006026"/>
    <hyperlink ref="N66" r:id="rId200" display="https://www.manta.com/c/mmn3jvb/complete-yacht-care-inc"/>
    <hyperlink ref="AE66" r:id="rId201" display="https://www.yellowpages.com/fort-lauderdale-fl/mip/complete-yacht-care-inc-15318354"/>
    <hyperlink ref="N67" r:id="rId202" display="https://www.bbb.org/us/fl/fort-lauderdale/profile/boat-repair/ship-side-service-0633-22003092"/>
    <hyperlink ref="AD67" r:id="rId203" display="https://www.yelp.com/biz/boatside-services-fort-lauderdale"/>
    <hyperlink ref="AE67" r:id="rId204" display="https://www.buzzfile.com/business/Boatside-Services-954-791-3700"/>
    <hyperlink ref="N68" r:id="rId205" display="https://www.yelp.com/biz/shoreline-marine-pompano-beach"/>
    <hyperlink ref="AD68" r:id="rId206" display="https://www.yelp.com/biz/shoreline-marine-pompano-beach"/>
    <hyperlink ref="AE68" r:id="rId207" display="https://www.bbb.org/us/fl/pompano-beach/profile/boat-repair/shoreline-marine-llc-0633-92014132"/>
    <hyperlink ref="N69" r:id="rId208" display="https://www.yelp.com/biz/yacht-mechanics-of-florida-fort-lauderdale"/>
    <hyperlink ref="AA69" r:id="rId209" display="https://www.facebook.com/p/Yacht-Mechanics-of-Florida-100069725744805/"/>
    <hyperlink ref="AD69" r:id="rId210" display="https://www.yelp.com/biz/yacht-mechanics-of-florida-fort-lauderdale"/>
    <hyperlink ref="AE69" r:id="rId211" display="https://yachtmechanicsofflorida.com/contact"/>
    <hyperlink ref="N70" r:id="rId212" display="https://www.manta.com/c/mb5d3rb/land-sea-air-conditioning-of"/>
    <hyperlink ref="AA70" r:id="rId213" display="https://www.facebook.com/landandseaac/"/>
    <hyperlink ref="AE70" r:id="rId214" display="https://www.thebluebook.com/iProView/968217/land-sea-air-cond-of-s-florida-inc/subcontractors/locations-contacts/"/>
    <hyperlink ref="N71" r:id="rId215" display="https://www.manta.com/c/mmym5vw/million-air-conditioning-corporation"/>
    <hyperlink ref="AE71" r:id="rId216" display="https://www.yellowpages.com/davie-fl/million-air-conditioning-corp"/>
    <hyperlink ref="N72" r:id="rId217" display="https://www.bbb.org/us/fl/davie/profile/major-appliance-services/first-class-air-conditioning-appliance-inc-0633-90137525"/>
    <hyperlink ref="AA72" r:id="rId218" display="https://www.facebook.com/myfcaa/"/>
    <hyperlink ref="AD72" r:id="rId219" display="https://www.yelp.com/biz/first-class-appliances-davie-2"/>
    <hyperlink ref="AE72" r:id="rId220" display="https://citytocitymarket.com/first-class-appliances-davie"/>
    <hyperlink ref="N73" r:id="rId221" display="https://www.bbb.org/us/fl/pompano-beach/profile/auto-repair/pompano-beach-texaco-0633-35000319"/>
    <hyperlink ref="AD73" r:id="rId222" display="https://www.yelp.com/biz/texaco-pompano-beach-pompano-beach"/>
    <hyperlink ref="AE73" r:id="rId223" display="https://www.bbb.org/us/fl/pompano-beach/profile/auto-repair/pompano-beach-texaco-0633-35000319"/>
    <hyperlink ref="N74" r:id="rId224" display="https://www.bbb.org/us/fl/pompano-beach/profile/mobile-auto-repair/our-shop-auto-repairs-inc-0633-90426905"/>
    <hyperlink ref="AA74" r:id="rId225" display="https://www.facebook.com/ourshopautorepairs/"/>
    <hyperlink ref="AB74" r:id="rId226" display="https://www.instagram.com/ourshopautorepairsinc/"/>
    <hyperlink ref="AD74" r:id="rId227" display="https://www.yelp.com/biz/our-shop-pompano-beach"/>
    <hyperlink ref="AE74" r:id="rId228" display="https://www.yellowpages.com/pompano-beach-fl/mip/our-shop-auto-repairs-inc-454341308"/>
    <hyperlink ref="N75" r:id="rId229" display="https://www.bbb.org/us/fl/pompano-beach/profile/auto-repair/fast-lane-auto-repairs-0633-90409985"/>
    <hyperlink ref="AA75" r:id="rId230" display="https://www.facebook.com/FastLaneAutoRepairs/"/>
    <hyperlink ref="AD75" r:id="rId231" display="https://www.yelp.com/biz/fast-lane-auto-repairs-pompano-beach"/>
    <hyperlink ref="AE75" r:id="rId232" display="https://www.yelp.com/biz/fast-lane-auto-repairs-pompano-beach"/>
    <hyperlink ref="N76" r:id="rId233" display="https://www.bbb.org/us/fl/pompano-beach/profile/auto-repair/the-auto-spot-0633-90092971"/>
    <hyperlink ref="AD76" r:id="rId234" display="https://www.yelp.com/biz/the-auto-spot-pompano-beach"/>
    <hyperlink ref="AE76" r:id="rId235" display="https://www.yelp.com/biz/the-auto-spot-pompano-beach"/>
    <hyperlink ref="N77" r:id="rId236" display="https://www.bbb.org/us/fl/pompano-beach/profile/auto-repair/original-look-0633-90132733"/>
    <hyperlink ref="AA77" r:id="rId237" display="https://www.facebook.com/originallookautosales/"/>
    <hyperlink ref="AD77" r:id="rId238" display="https://www.yelp.com/biz/original-look-auto-sales-pompano-beach"/>
    <hyperlink ref="AE77" r:id="rId239" display="https://www.bbb.org/us/fl/pompano-beach/profile/auto-repair/original-look-0633-90132733"/>
    <hyperlink ref="N78" r:id="rId240" display="https://www.manta.com/c/mh1g76d/marina-road-boat-yard"/>
    <hyperlink ref="AA78" r:id="rId241" display="https://www.facebook.com/MarinaRoadBoatYard/"/>
    <hyperlink ref="AB78" r:id="rId242" display="https://www.instagram.com/marinaroadboatyard/"/>
    <hyperlink ref="AD78" r:id="rId243" display="https://www.yelp.com/biz/aqua-marina-marina-road-fort-lauderdale"/>
    <hyperlink ref="AE78" r:id="rId244" display="https://marinas.com/view/marina/x1cx3d_Marina_Road_Boat_Yard_Fort_Lauderdale_FL_United_States"/>
    <hyperlink ref="N79" r:id="rId245" display="https://www.manta.com/c/mm0jvj4/yachting-bliss"/>
    <hyperlink ref="AA79" r:id="rId246" display="https://www.facebook.com/p/Yachting-Bliss-100057535448086/"/>
    <hyperlink ref="AD79" r:id="rId247" display="https://www.yelp.com/biz/yachting-bliss-pompano-beach"/>
    <hyperlink ref="AE79" r:id="rId248" display="https://yachtingbliss.com/contact-us.php"/>
    <hyperlink ref="N80" r:id="rId249" display="https://www.manta.com/c/mkhwx2k/elite-yachting-solutions-llc"/>
    <hyperlink ref="AE80" r:id="rId250" display="https://www.eliteyachtingsolutions.com/contact-us/"/>
    <hyperlink ref="N81" r:id="rId251" display="https://www.manta.com/c/m1xl2v5/s-a-marine-services-llc"/>
    <hyperlink ref="AA81" r:id="rId252" display="https://www.facebook.com/samarineservices/"/>
    <hyperlink ref="AD81" r:id="rId253" display="https://www.yelp.com/biz/s-a-marine-services-pompano-beach"/>
    <hyperlink ref="AE81" r:id="rId254" display="https://www.yelp.com/biz/s-a-marine-services-pompano-beach"/>
    <hyperlink ref="N82" r:id="rId255" display="https://www.manta.com/c/mm7f0xx/all-power-marine-boat-lifts-docks"/>
    <hyperlink ref="AD82" r:id="rId256" display="https://www.yelp.com/biz/all-power-marine-boatlifts-and-docks-pompano-beach"/>
    <hyperlink ref="AE82" r:id="rId257" display="https://marineboatlifts.com/about/contact/"/>
    <hyperlink ref="N83" r:id="rId258" display="https://www.manta.com/c/mr4tgvc/t-d-air-conditioning-inc"/>
    <hyperlink ref="AB83" r:id="rId259" display="https://www.instagram.com/tdairconditioning/"/>
    <hyperlink ref="AE83" r:id="rId260" display="https://www.yellowpages.com/davie-fl/mip/t-d-air-conditioning-inc-467300545"/>
    <hyperlink ref="N84" r:id="rId261" display="https://www.manta.com/c/mhw02tp/cv-ac-expert-llc"/>
    <hyperlink ref="AD84" r:id="rId262" display="https://www.yelp.com/biz/cvac-expert-davie"/>
    <hyperlink ref="AE84" r:id="rId263" display="https://cvacexpert.com/contact-us/"/>
    <hyperlink ref="N85" r:id="rId264" display="https://www.manta.com/c/mtq3wsd/ocean-freight-link"/>
    <hyperlink ref="AE85" r:id="rId265" display="https://www.manta.com/c/mtq3wsd/ocean-freight-link"/>
    <hyperlink ref="N86" r:id="rId266" display="https://www.manta.com/c/mmfvqs5/promptus-llc"/>
    <hyperlink ref="AA86" r:id="rId267" display="https://www.facebook.com/Promptus.us/"/>
    <hyperlink ref="AC86" r:id="rId268" display="https://www.linkedin.com/company/promptus-llc"/>
    <hyperlink ref="AD86" r:id="rId269" display="https://www.yelp.com/biz/promptus-llc-miramar-8"/>
    <hyperlink ref="AE86" r:id="rId270" display="https://www.promptus.us/contact/"/>
    <hyperlink ref="N87" r:id="rId271" display="https://www.manta.com/c/mtry58n/r-k-a-xpress-inc"/>
    <hyperlink ref="AE87" r:id="rId272" display="https://search.sunbiz.org/"/>
    <hyperlink ref="N88" r:id="rId273" display="https://www.manta.com/c/mt4210t/j-j-freight-brokerage-inc"/>
    <hyperlink ref="N89" r:id="rId274" display="https://www.manta.com/c/mm08mz3/markon-realty-and-management-inc"/>
    <hyperlink ref="AC89" r:id="rId275" display="https://www.linkedin.com/company/markon-realty-and-management-inc."/>
    <hyperlink ref="AD89" r:id="rId276" display="https://www.yelp.com/biz/markon-realty-and-management-fort-lauderdale"/>
    <hyperlink ref="AE89" r:id="rId277" display="https://www.merchantcircle.com/markon-realty-and-management1-fort-lauderdale-fl"/>
    <hyperlink ref="N90" r:id="rId278" display="https://www.manta.com/c/mw2lslb/three-js-management-corporation"/>
    <hyperlink ref="AD90" r:id="rId279" display="https://www.yelp.com/biz/three-js-management-sunrise"/>
    <hyperlink ref="AE90" r:id="rId280" display="https://www.yellowpages.com/sunrise-fl/mip/three-js-management-corp-451116974"/>
    <hyperlink ref="N91" r:id="rId281" display="https://www.manta.com/c/mhkhbr0/lindsay-taylor-property-management-inc"/>
    <hyperlink ref="AA91" r:id="rId282" display="https://www.facebook.com/p/Lindsay-Taylor-Property-Management-100047539872968/"/>
    <hyperlink ref="AE91" r:id="rId283" display="https://www.bbb.org/us/fl/sunrise/profile/property-management/lindsay-taylor-property-management-inc-0633-92032382"/>
    <hyperlink ref="N92" r:id="rId284" display="https://www.manta.com/c/mbybsr5/ymp-real-estate-management-llc"/>
    <hyperlink ref="AE92" r:id="rId285" display="https://www.bbb.org/us/fl/lauderdale-lakes/profile/real-estate-investing/ymp-real-estate-management-llc-0633-90096264"/>
    <hyperlink ref="N93" r:id="rId286" display="https://www.manta.com/c/mkxpthn/kryterion-property-services-llc"/>
    <hyperlink ref="AE93" r:id="rId287" display="https://www.buzzfile.com/business/Kryterion-Property-Services-LLC-954-789-0449"/>
    <hyperlink ref="N94" r:id="rId288" display="https://www.manta.com/d/mm2thx3/lasseter-plumbing-company-inc"/>
    <hyperlink ref="AA94" r:id="rId289" display="https://www.facebook.com/p/Lasseter-Plumbing-Co-Inc-100069806585920/"/>
    <hyperlink ref="AD94" r:id="rId290" display="https://www.yelp.com/biz/lasseter-plumbing-north-miami"/>
    <hyperlink ref="AE94" r:id="rId291" display="https://www.yelp.com/biz/lasseter-plumbing-north-miami"/>
    <hyperlink ref="N95" r:id="rId292" display="https://www.manta.com/c/mtbtgz9/rocco-plumbing-inc"/>
    <hyperlink ref="AE95" r:id="rId293" display="https://www.manta.com/c/mtbtgz9/rocco-plumbing-inc"/>
    <hyperlink ref="N96" r:id="rId294" display="https://www.manta.com/c/mt4fd3r/malu-plumbing-inc"/>
    <hyperlink ref="AD96" r:id="rId295" display="https://www.yelp.com/biz/malu-plumbing-miami"/>
    <hyperlink ref="AE96" r:id="rId296" display="https://www.bbb.org/us/fl/miami-gardens/profile/plumbing-renovation/malu-plumbing-corp-0633-92034364"/>
    <hyperlink ref="N97" r:id="rId297" display="https://www.manta.com/c/mb04c42/just-plumbing"/>
    <hyperlink ref="N98" r:id="rId298" display="https://www.manta.com/c/mttg4zn/plumbing-experts"/>
    <hyperlink ref="AA98" r:id="rId299" display="https://www.facebook.com/plummmmbershere/"/>
    <hyperlink ref="AD98" r:id="rId300" display="https://m.yelp.com/biz/plumbing-experts-inc-north-miami-beach"/>
    <hyperlink ref="AE98" r:id="rId301" display="https://www.yellowpages.com/miami-fl/plumbing-experts-inc"/>
    <hyperlink ref="N99" r:id="rId302" display="https://www.manta.com/c/mx0vyzw/new-england-plumbing"/>
    <hyperlink ref="AA99" r:id="rId303" display="https://www.facebook.com/MiamiPlumbers/"/>
    <hyperlink ref="AD99" r:id="rId304" display="https://www.yelp.com/biz/new-england-plumbing-miami"/>
    <hyperlink ref="AE99" r:id="rId305" display="https://www.chamberofcommerce.com/business-directory/florida/miami-shores/plumber/47118209-new-england-plumbing"/>
    <hyperlink ref="N100" r:id="rId306" display="https://www.manta.com/c/mmdzv4c/martin-accounting-tax-service"/>
    <hyperlink ref="AD100" r:id="rId307" display="https://www.yelp.com/biz/martin-accounting-and-tax-service-hialeah"/>
    <hyperlink ref="AE100" r:id="rId308" display="https://www.yelp.com/biz/martin-accounting-and-tax-service-hialeah"/>
    <hyperlink ref="N101" r:id="rId309" display="https://www.manta.com/c/mhbyhd2/zaidspiner-income-tax-service"/>
    <hyperlink ref="AB101" r:id="rId310" display="https://www.instagram.com/zaidspinerincometaxservices/"/>
    <hyperlink ref="N102" r:id="rId311" display="https://www.manta.com/c/mmld75y/tax-recovery-services"/>
    <hyperlink ref="AE102" r:id="rId312" display="http://www.tax-recovery-services.com/contact.php"/>
    <hyperlink ref="N103" r:id="rId313" display="https://www.yelp.com/biz/miami-income-tax-miami"/>
    <hyperlink ref="AD103" r:id="rId314" display="https://www.yelp.com/biz/miami-income-tax-miami"/>
    <hyperlink ref="AE103" r:id="rId315" display="https://www.yelp.com/biz/miami-income-tax-miami"/>
    <hyperlink ref="N104" r:id="rId316" display="https://www.manta.com/c/mmfws9t/rivas-immigration-law"/>
    <hyperlink ref="AE104" r:id="rId317" display="https://www.manta.com/c/mmfws9t/rivas-immigration-law"/>
    <hyperlink ref="N105" r:id="rId318" display="https://www.manta.com/c/mr0zgqq/felix-pardo-architect-inc"/>
    <hyperlink ref="AD105" r:id="rId319" display="https://www.yelp.com/biz/felix-pardo-coral-gables"/>
    <hyperlink ref="AE105" r:id="rId320" display="https://www.yelp.com/biz/felix-pardo-coral-gables"/>
    <hyperlink ref="N106" r:id="rId321" display="https://www.manta.com/c/mmnsjmj/forbes-architects"/>
    <hyperlink ref="AB106" r:id="rId322" display="https://www.instagram.com/forbesmiami/"/>
    <hyperlink ref="AC106" r:id="rId323" display="https://www.linkedin.com/company/forbes-architects"/>
    <hyperlink ref="AD106" r:id="rId324" display="https://www.yelp.com/biz/forbes-architects-coral-gables"/>
    <hyperlink ref="N107" r:id="rId325" display="https://www.manta.com/c/mk2fx4l/a-d-animal-hospital-inc"/>
    <hyperlink ref="AA107" r:id="rId326" display="https://www.facebook.com/adanimalhospital/"/>
    <hyperlink ref="AB107" r:id="rId327" display="https://www.instagram.com/adanimalhospital/"/>
    <hyperlink ref="AD107" r:id="rId328" display="https://www.yelp.com/biz/twins-animal-hospital-hialeah"/>
    <hyperlink ref="N108" r:id="rId329" display="https://www.manta.com/c/mtm56cl/farley-veterinary-clinic"/>
    <hyperlink ref="AD108" r:id="rId330" display="https://www.yelp.com/biz/farley-veterinary-clinic-hollywood"/>
    <hyperlink ref="AE108" r:id="rId331" display="https://www.yelp.com/biz/farley-veterinary-clinic-hollywood"/>
    <hyperlink ref="N109" r:id="rId332" display="https://www.manta.com/c/mtv988s/montero-dental-center"/>
    <hyperlink ref="AD109" r:id="rId333" display="https://www.yelp.com/biz/montero-dental-center-hialeah"/>
    <hyperlink ref="AE109" r:id="rId334" display="https://www.yelp.com/biz/montero-dental-center-hialeah"/>
    <hyperlink ref="N110" r:id="rId335" display="https://www.manta.com/c/mm5yfxm/jose-m-del-valle-dds-pa"/>
    <hyperlink ref="AD110" r:id="rId336" display="https://www.yelp.com/biz/del-valle-jose-m-dds-pa-hialeah"/>
    <hyperlink ref="AE110" r:id="rId337" display="https://www.yelp.com/biz/del-valle-jose-m-dds-pa-hialeah"/>
    <hyperlink ref="N111" r:id="rId338" display="https://www.manta.com/c/mb5r01b/aventura-dental-arts"/>
    <hyperlink ref="AA111" r:id="rId339" display="https://www.facebook.com/aventuradentalarts/"/>
    <hyperlink ref="AB111" r:id="rId340" display="https://www.instagram.com/aventuradentalarts/"/>
    <hyperlink ref="AD111" r:id="rId341" display="https://www.yelp.com/biz/aventura-dental-arts-miami-2"/>
    <hyperlink ref="N112" r:id="rId342" display="https://www.manta.com/c/mhwzp1k/felix-varela-medical-clinic-inc"/>
    <hyperlink ref="N113" r:id="rId343" display="https://www.manta.com/c/mr07gcv/als-medical-group"/>
    <hyperlink ref="AA113" r:id="rId344" display="https://www.facebook.com/p/ALS-Medical-Group-100070481402996/"/>
    <hyperlink ref="AB113" r:id="rId345" display="https://www.instagram.com/alsmedicalgroup/"/>
    <hyperlink ref="N114" r:id="rId346" display="https://www.manta.com/c/mmnycd5/orthopedic-rehabilitation-specialists-inc"/>
    <hyperlink ref="AC114" r:id="rId347" display="https://www.linkedin.com/company/orthopedic-rehabilitation-specialists-inc."/>
    <hyperlink ref="AD114" r:id="rId348" display="https://www.yelp.com/biz/orthopedic-rehabilitation-specialists-miami"/>
    <hyperlink ref="N115" r:id="rId349" display="https://www.yellowpages.com/plantation-fl/mip/plantation-chiropractic-center-inc-467764478"/>
    <hyperlink ref="AA115" r:id="rId350" display="https://www.facebook.com/p/Plantation-Chiropractic-100063776342532/"/>
    <hyperlink ref="AD115" r:id="rId351" display="https://www.yelp.com/biz/trachtenberg-lee-dc-plantation-2"/>
    <hyperlink ref="AE115" r:id="rId352" display="https://www.yellowpages.com/plantation-fl/mip/plantation-chiropractic-center-inc-467764478"/>
    <hyperlink ref="N116" r:id="rId353" display="https://www.manta.com/c/mm0fbmw/miami-beach-chiropractic-rehabilitation-center-pa"/>
    <hyperlink ref="AA116" r:id="rId354" display="https://www.facebook.com/MiamiBeachChiropractic/"/>
    <hyperlink ref="AD116" r:id="rId355" display="https://www.yelp.com/biz/miami-beach-chiropractic-and-rehabilitation-ctr-pa-miami"/>
    <hyperlink ref="AE116" r:id="rId356" display="https://www.yelp.com/biz/miami-beach-chiropractic-and-rehabilitation-ctr-pa-miami"/>
    <hyperlink ref="N117" r:id="rId357" display="https://www.manta.com/c/mtr6dz3/rubio-pharmacy-and-discount-inc"/>
    <hyperlink ref="AA117" r:id="rId358" display="https://www.facebook.com/RubioPharmacy/"/>
    <hyperlink ref="AD117" r:id="rId359" display="https://www.yelp.com/biz/rubio-pharmacy-and-discount-hialeah"/>
    <hyperlink ref="AE117" r:id="rId360" display="https://www.yelp.com/biz/rubio-pharmacy-and-discount-hialeah"/>
    <hyperlink ref="N118" r:id="rId361" display="https://www.manta.com/c/mttcj9f/tropical-pharmacy-inc"/>
    <hyperlink ref="AD118" r:id="rId362" display="https://www.yelp.com/biz/tropical-pharmacy-plantation-2"/>
    <hyperlink ref="AE118" r:id="rId363" display="https://www.yelp.com/biz/tropical-pharmacy-plantation-2"/>
    <hyperlink ref="N119" r:id="rId364" display="https://www.manta.com/c/mm890c8/excellent-pharmacy-discount"/>
    <hyperlink ref="AE119" r:id="rId365" display="https://www.manta.com/c/mm890c8/excellent-pharmacy-discount"/>
    <hyperlink ref="N120" r:id="rId366" display="https://www.manta.com/c/mmnct5k/frases-frases-insurance-agency"/>
    <hyperlink ref="AD120" r:id="rId367" display="https://www.yelp.com/biz/frases-and-frases-insurance-agency-hialeah"/>
    <hyperlink ref="AE120" r:id="rId368" display="https://www.yelp.com/biz/frases-and-frases-insurance-agency-hialeah"/>
    <hyperlink ref="N121" r:id="rId369" display="https://www.manta.com/c/mm4mtnd/a-g-insurance"/>
    <hyperlink ref="AD121" r:id="rId370" display="https://www.yelp.com/biz/a-and-g-insurance-hialeah"/>
    <hyperlink ref="AE121" r:id="rId371" display="https://www.manta.com/c/mm4mtnd/a-g-insurance"/>
    <hyperlink ref="N122" r:id="rId372" display="https://www.bbb.org/us/fl/hialeah/profile/insurance-agency/continental-insurance-office-0633-92071289"/>
    <hyperlink ref="AE122" r:id="rId373" display="https://www.bbb.org/us/fl/hialeah/profile/insurance-agency/continental-insurance-office-0633-92071289"/>
    <hyperlink ref="N123" r:id="rId374" display="https://www.bbb.org/us/fl/hialeah/profile/insurance-agency/opportunity-insurance-inc-0633-90612037"/>
    <hyperlink ref="AB123" r:id="rId375" display="https://www.instagram.com/opportunityinsurance/"/>
    <hyperlink ref="AD123" r:id="rId376" display="https://www.yelp.com/biz/opportunity-insurance-hialeah"/>
    <hyperlink ref="N124" r:id="rId377" display="https://www.manta.com/c/mm8c01j/ramallo-insurance-inc"/>
    <hyperlink ref="AD124" r:id="rId378" display="https://www.yelp.com/biz/ramallo-assurance-inc-miami-2"/>
    <hyperlink ref="AE124" r:id="rId379" display="https://www.manta.com/c/mm8c01j/ramallo-insurance-inc"/>
    <hyperlink ref="N125" r:id="rId380" display="https://www.manta.com/c/mhh0xzb/targa-insurance-inc"/>
    <hyperlink ref="AD125" r:id="rId381" display="https://www.yelp.com/biz/targa-insurance-fort-lauderdale"/>
    <hyperlink ref="AE125" r:id="rId382" display="https://www.yelp.com/biz/targa-insurance-fort-lauderdale"/>
    <hyperlink ref="N126" r:id="rId383" display="https://www.manta.com/c/mtrvtd1/florida-insurance-plus"/>
    <hyperlink ref="AA126" r:id="rId384" display="https://www.facebook.com/100070735132722/"/>
    <hyperlink ref="AD126" r:id="rId385" display="https://www.yelp.com/biz/florida-insurance-and-plus-hollywood"/>
    <hyperlink ref="AE126" r:id="rId386" display="https://www.yelp.com/biz/florida-insurance-and-plus-hollywood"/>
    <hyperlink ref="N127" r:id="rId387" display="https://www.bbb.org/us/fl/miami-beach/profile/insurance-services-office/allstar-insurance-services-inc-0633-27003053"/>
    <hyperlink ref="AA127" r:id="rId388" display="https://www.facebook.com/chooseallstar/"/>
    <hyperlink ref="AD127" r:id="rId389" display="https://www.yelp.com/biz/allstar-insurance-services-north-bay-village"/>
    <hyperlink ref="AE127" r:id="rId390" display="https://www.bbb.org/us/fl/miami-beach/profile/insurance-services-office/allstar-insurance-services-inc-0633-27003053"/>
    <hyperlink ref="N128" r:id="rId391" display="https://www.manta.com/c/mr0113x/continental-trust-mortgage"/>
    <hyperlink ref="AD128" r:id="rId392" display="https://www.yelp.com/biz/continental-trust-mortgage-miami-2"/>
    <hyperlink ref="AE128" r:id="rId393" display="https://www.manta.com/c/mr0113x/continental-trust-mortgage"/>
    <hyperlink ref="N129" r:id="rId394" display="https://www.manta.com/c/mmb664t/mortgage-funding-group-inc"/>
    <hyperlink ref="AD129" r:id="rId395" display="https://www.yelp.com/biz/mortgage-funding-group-plantation"/>
    <hyperlink ref="N130" r:id="rId396" display="https://www.manta.com/c/mmpy8rx/envios-22-24"/>
    <hyperlink ref="AC130" r:id="rId397" display="https://www.linkedin.com/company/envios-22-24-inc"/>
    <hyperlink ref="AD130" r:id="rId398" display="https://www.yelp.com/biz/envios-2224-hialeah"/>
    <hyperlink ref="AE130" r:id="rId399" display="https://www.yelp.com/biz/envios-2224-hialeah"/>
    <hyperlink ref="N131" r:id="rId400" display="https://www.yelp.com/biz/el-yoyito-restaurant-y-cafeteria-hialeah"/>
    <hyperlink ref="AA131" r:id="rId401" display="http://m.facebook.com/profile.php?id=127183447924452"/>
    <hyperlink ref="AD131" r:id="rId402" display="https://www.yelp.com/biz/el-yoyito-restaurant-y-cafeteria-hialeah"/>
    <hyperlink ref="AE131" r:id="rId403" display="https://www.miaminewtimes.com/location/el-yoyito-restaurant-y-cafe-6421187/"/>
    <hyperlink ref="N132" r:id="rId404" display="https://www.yellowpages.com/hialeah-fl/mip/2000-cafe-inc-462536135"/>
    <hyperlink ref="AD132" r:id="rId405" display="https://www.yelp.com/biz/2000-cafe-hialeah"/>
    <hyperlink ref="AE132" r:id="rId406" display="https://www.yellowpages.com/hialeah-fl/mip/2000-cafe-inc-462536135"/>
    <hyperlink ref="N133" r:id="rId407" display="https://www.yelp.com/biz/latin-cafe-2000-hialeah"/>
    <hyperlink ref="AD133" r:id="rId408" display="https://www.yelp.com/biz/latin-cafe-2000-hialeah"/>
    <hyperlink ref="AE133" r:id="rId409" display="https://www.yelp.com/biz/latin-cafe-2000-hialeah"/>
    <hyperlink ref="N134" r:id="rId410" display="https://www.yelp.com/biz/the-original-cuban-barbershop-miami-3"/>
    <hyperlink ref="AD134" r:id="rId411" display="https://www.yelp.com/biz/the-original-cuban-barbershop-miami-3"/>
    <hyperlink ref="AE134" r:id="rId412" display="https://booksy.com/en-us/1064288_la-barberia-the-original-cuban-barbershop_barber-shop_15889_miami"/>
    <hyperlink ref="N135" r:id="rId413" display="https://calleochonews.com/homerun-barbershop-in-little-havana-is-a-grand-slam/"/>
    <hyperlink ref="AD135" r:id="rId414" display="https://www.yelp.com/biz/homerun-barbershop-miami"/>
    <hyperlink ref="AE135" r:id="rId415" display="https://www.yelp.com/biz/homerun-barbershop-miami"/>
    <hyperlink ref="N136" r:id="rId416" display="https://www.yelp.com/biz/joes-barber-shop-hialeah"/>
    <hyperlink ref="AD136" r:id="rId417" display="https://www.yelp.com/biz/joes-barber-shop-hialeah"/>
    <hyperlink ref="AE136" r:id="rId418" display="https://www.yellowpages.com/hialeah-fl/mip/joes-barber-shop-16413541"/>
    <hyperlink ref="N137" r:id="rId419" display="https://www.yelp.com/biz/rbtt-boxing-gym-hialeah"/>
    <hyperlink ref="AD137" r:id="rId420" display="https://www.yelp.com/biz/rbtt-boxing-gym-hialeah"/>
    <hyperlink ref="AE137" r:id="rId421" display="https://local.yahoo.com/info-236448236-rbtt-boxing-gym-hialeah/"/>
    <hyperlink ref="N138" r:id="rId422" display="https://www.yelp.com/biz/kangaroo-boxing-gym-hialeah-gardens"/>
    <hyperlink ref="AB138" r:id="rId423" display="https://www.instagram.com/kangarooboxinggym/"/>
    <hyperlink ref="AD138" r:id="rId424" display="https://www.yelp.com/biz/kangaroo-boxing-gym-hialeah-gardens"/>
    <hyperlink ref="AE138" r:id="rId425" display="https://local.yahoo.com/info-233970697-kangaroo-boxing-gym-hialeah-gardens/"/>
    <hyperlink ref="N139" r:id="rId426" display="https://www.yelp.com/biz/the-magic-dance-academy-hialeah"/>
    <hyperlink ref="AA139" r:id="rId427" display="https://www.facebook.com/themagicdancestudio/"/>
    <hyperlink ref="AD139" r:id="rId428" display="https://www.yelp.com/biz/the-magic-dance-academy-hialeah"/>
    <hyperlink ref="AE139" r:id="rId429" display="https://www.yellowpages.com/hialeah-fl/mip/the-magic-dance-studio-academy-519255494"/>
    <hyperlink ref="N140" r:id="rId430" display="https://www.sportanddanceacademy.com/contact"/>
    <hyperlink ref="AA140" r:id="rId431" display="https://www.facebook.com/sportanddanceacademy/"/>
    <hyperlink ref="AD140" r:id="rId432" display="https://www.yelp.com/biz/sport-and-dance-academy-hialeah"/>
    <hyperlink ref="AE140" r:id="rId433" display="https://www.sportanddanceacademy.com/contact"/>
    <hyperlink ref="N141" r:id="rId434" display="https://www.yellowpages.com/doral-fl/mip/cleaners-at-doral-13465665"/>
    <hyperlink ref="AD141" r:id="rId435" display="https://www.yelp.com/biz/dinas-cleaners-doral"/>
    <hyperlink ref="AE141" r:id="rId436" display="https://www.yellowpages.com/doral-fl/mip/cleaners-at-doral-13465665"/>
    <hyperlink ref="N142" r:id="rId437" display="https://www.yelp.com/biz/doral-bakery-and-cafeteria-doral"/>
    <hyperlink ref="AD142" r:id="rId438" display="https://www.yelp.com/biz/doral-bakery-and-cafeteria-doral"/>
    <hyperlink ref="AE142" r:id="rId439" display="https://local.yahoo.com/info-88725828-doral-bakery-cafeteria-doral/"/>
    <hyperlink ref="N143" r:id="rId440" display="https://www.yelp.com/biz/kendalls-bakery-restaurant-miami"/>
    <hyperlink ref="AD143" r:id="rId441" display="https://www.yelp.com/biz/kendalls-bakery-restaurant-miami"/>
    <hyperlink ref="AE143" r:id="rId442" display="https://local.yahoo.com/info-192956246-kendall-s-bakery-restaurant-miami/"/>
    <hyperlink ref="N144" r:id="rId443" display="https://www.yelp.com/biz/a-labor-of-love-dog-grooming-salon-miami-3"/>
    <hyperlink ref="AA144" r:id="rId444" display="https://www.facebook.com/alaboroflovedoggrooming/"/>
    <hyperlink ref="AD144" r:id="rId445" display="https://www.yelp.com/biz/a-labor-of-love-dog-grooming-salon-miami-3"/>
    <hyperlink ref="AE144" r:id="rId446" display="https://www.yelp.com/biz/a-labor-of-love-dog-grooming-salon-miami-3"/>
    <hyperlink ref="N145" r:id="rId447" display="https://www.yelp.com/biz/magique-hair-salon-aventura"/>
    <hyperlink ref="AA145" r:id="rId448" display="https://www.facebook.com/magiqueaventura/"/>
    <hyperlink ref="AB145" r:id="rId449" display="https://www.instagram.com/magique.hairsalon/"/>
    <hyperlink ref="AD145" r:id="rId450" display="https://www.yelp.com/biz/magique-hair-salon-aventura"/>
    <hyperlink ref="AE145" r:id="rId451" display="https://www.yelp.com/biz/magique-hair-salon-aventura"/>
    <hyperlink ref="N146" r:id="rId452" display="https://lesteticasalon.com/contact-us/"/>
    <hyperlink ref="AA146" r:id="rId453" display="https://www.facebook.com/lesteticasalonmia"/>
    <hyperlink ref="AD146" r:id="rId454" display="https://www.yelp.com/biz/l-estetica-salon-aventura"/>
    <hyperlink ref="AE146" r:id="rId455" display="https://lesteticasalon.com/contact-us/"/>
    <hyperlink ref="N147" r:id="rId456" display="https://www.yelp.com/biz/l-auberge-haitian-restaurant-north-miami"/>
    <hyperlink ref="AD147" r:id="rId457" display="https://www.yelp.com/biz/l-auberge-haitian-restaurant-north-miami"/>
    <hyperlink ref="AE147" r:id="rId458" display="https://www.theinfatuation.com/miami/reviews/lauberge-restaurant"/>
    <hyperlink ref="N148" r:id="rId459" display="https://www.miaminewtimes.com/location/chez-madame-johns-restaurant-6411679"/>
    <hyperlink ref="AD148" r:id="rId460" display="https://www.yelp.com/biz/chez-madame-johns-restaurant-north-miami"/>
    <hyperlink ref="AE148" r:id="rId461" display="https://www.tripadvisor.com/Restaurant_Review-g34485-d4632141-Reviews-Chez_Madame_Johns_Restaurant-North_Miami_Florida.html"/>
    <hyperlink ref="N149" r:id="rId462" display="https://www.yelp.com/biz/el-bajareque-restaurant-miami"/>
    <hyperlink ref="AB149" r:id="rId463" display="https://www.instagram.com/elbajareque/"/>
    <hyperlink ref="AD149" r:id="rId464" display="https://www.yelp.com/biz/el-bajareque-restaurant-miami"/>
    <hyperlink ref="AE149" r:id="rId465" display="https://elbajarequerestaurant.com/contact-us"/>
    <hyperlink ref="N150" r:id="rId466" display="https://www.yelp.com/biz/wynwood-car-wash-miami"/>
    <hyperlink ref="AD150" r:id="rId467" display="https://www.yelp.com/biz/wynwood-car-wash-miami"/>
    <hyperlink ref="AE150" r:id="rId468" display="https://local.yahoo.com/info-127474321-wynwood-car-wash-miami/"/>
    <hyperlink ref="N151" r:id="rId469" display="https://www.yelp.com/biz/normans-tavern-miami-beach-4"/>
    <hyperlink ref="AD151" r:id="rId470" display="https://www.yelp.com/biz/normans-tavern-miami-beach-4"/>
    <hyperlink ref="AE151" r:id="rId471" display="https://www.yelp.com/biz/normans-tavern-miami-beach-4"/>
    <hyperlink ref="N152" r:id="rId472" display="https://www.yelp.com/biz/puerto-sagua-restaurant-miami-beach"/>
    <hyperlink ref="AD152" r:id="rId473" display="https://www.yelp.com/biz/puerto-sagua-restaurant-miami-beach"/>
    <hyperlink ref="AE152" r:id="rId474" display="https://puertosagua.org/locations.html"/>
    <hyperlink ref="N153" r:id="rId475" display="https://www.yelp.com/biz/best-dry-cleaners-and-shoe-repair-miami-beach"/>
    <hyperlink ref="AA153" r:id="rId476" display="https://www.facebook.com/bestcleanersshoerepair/"/>
    <hyperlink ref="AD153" r:id="rId477" display="https://www.yelp.com/biz/best-dry-cleaners-and-shoe-repair-miami-beach"/>
    <hyperlink ref="AE153" r:id="rId478" display="https://www.yellowpages.com/miami-beach-fl/mip/best-dry-cleaners-shoe-repair-10199777"/>
    <hyperlink ref="N154" r:id="rId479" display="https://www.yelp.com/biz/marks-quality-cleaners-miami-beach-2"/>
    <hyperlink ref="AA154" r:id="rId480" display="https://www.facebook.com/MarksQualityCleaners/"/>
    <hyperlink ref="AD154" r:id="rId481" display="https://www.yelp.com/biz/marks-quality-cleaners-miami-beach-2"/>
    <hyperlink ref="AE154" r:id="rId482" display="https://marksqualitycleaners.net/contact/"/>
    <hyperlink ref="N155" r:id="rId483" display="https://islandhousesouthbeach.com/"/>
    <hyperlink ref="AE155" r:id="rId484" display="https://islandhousesouthbeach.com/"/>
    <hyperlink ref="N156" r:id="rId485" display="https://www.yelp.com/biz/chocolada-bakery-and-cafe-hollywood"/>
    <hyperlink ref="AA156" r:id="rId486" display="https://www.facebook.com/hollywoodchocolada/"/>
    <hyperlink ref="AD156" r:id="rId487" display="https://www.yelp.com/biz/chocolada-bakery-and-cafe-hollywood"/>
    <hyperlink ref="AE156" r:id="rId488" display="https://www.yellowpages.com/hollywood-fl/mip/chocolada-bakery-cafe-8426628"/>
    <hyperlink ref="N157" r:id="rId489" display="https://www.yelp.com/biz/santos-barber-shop-hollywood"/>
    <hyperlink ref="AA157" r:id="rId490" display="https://www.facebook.com/santosbarbershophollywood/"/>
    <hyperlink ref="AD157" r:id="rId491" display="https://www.yelp.com/biz/santos-barber-shop-hollywood"/>
    <hyperlink ref="AE157" r:id="rId492" display="https://www.yellowpages.com/hollywood-fl/mip/santos-barber-shop-470291605"/>
    <hyperlink ref="N158" r:id="rId493" display="https://www.tripadvisor.com/Hotel_Review-g34296-d12460813-Reviews-Golden_Sand_Motel-Hollywood_Broward_County_Florida.html"/>
    <hyperlink ref="AE158" r:id="rId494" display="https://goldensandoceanfront.godaddysites.com/"/>
    <hyperlink ref="N159" r:id="rId495" display="https://www.yelp.com/biz/diane-oceanfront-suites-hollywood"/>
    <hyperlink ref="AA159" r:id="rId496" display="https://www.facebook.com/Dianesuites/"/>
    <hyperlink ref="AD159" r:id="rId497" display="https://www.yelp.com/biz/diane-oceanfront-suites-hollywood"/>
    <hyperlink ref="AE159" r:id="rId498" display="https://dianeoceanfrontsuites.com/"/>
    <hyperlink ref="N160" r:id="rId499" display="https://www.southfloridasuntimes.com/news/ferrara-auto-spa,-ferrara-automotive:-serving-the-broward-community-for-20-years"/>
    <hyperlink ref="AA160" r:id="rId500" display="https://www.facebook.com/ferraraautospa/"/>
    <hyperlink ref="AD160" r:id="rId501" display="https://www.yelp.com/biz/ferrara-auto-spa-hollywood"/>
    <hyperlink ref="AE160" r:id="rId502" display="https://www.yelp.com/biz/ferrara-auto-spa-hollywood"/>
    <hyperlink ref="N161" r:id="rId503" display="https://www.yelp.com/biz/tarks-of-dania-beach-dania-beach"/>
    <hyperlink ref="AB161" r:id="rId504" display="https://www.instagram.com/tarksdania/"/>
    <hyperlink ref="AD161" r:id="rId505" display="https://www.yelp.com/biz/tarks-of-dania-beach-dania-beach"/>
    <hyperlink ref="AE161" r:id="rId506" display="https://tarksofdania.com/"/>
    <hyperlink ref="N162" r:id="rId507" display="https://www.yelp.com/biz/alexandrias-grooming-fort-lauderdale"/>
    <hyperlink ref="AA162" r:id="rId508" display="https://www.facebook.com/AlexandriasGrooming/"/>
    <hyperlink ref="AD162" r:id="rId509" display="https://www.yelp.com/biz/alexandrias-grooming-fort-lauderdale"/>
    <hyperlink ref="AE162" r:id="rId510" display="https://www.bbb.org/us/fl/fort-lauderdale/profile/pet-grooming/alexandrias-grooming-inc-0633-7003888"/>
    <hyperlink ref="N163" r:id="rId511" display="https://www.yelp.com/biz/chungs-kung-fu-and-tai-chi-academy-fort-lauderdale"/>
    <hyperlink ref="AA163" r:id="rId512" display="https://www.facebook.com/dragonkungfuflorida"/>
    <hyperlink ref="AD163" r:id="rId513" display="https://www.yelp.com/biz/chungs-kung-fu-and-tai-chi-academy-fort-lauderdale"/>
    <hyperlink ref="AE163" r:id="rId514" display="https://local.yahoo.com/info-120238237-chung-s-kung-fu-and-tai-chi-academy-fort-lauderdale"/>
    <hyperlink ref="N164" r:id="rId515" display="https://www.yelp.com/biz/egg-and-you-diner-fort-lauderdale"/>
    <hyperlink ref="AA164" r:id="rId516" display="https://www.facebook.com/p/Egg-You-Diner-100063651605655/"/>
    <hyperlink ref="AD164" r:id="rId517" display="https://www.yelp.com/biz/egg-and-you-diner-fort-lauderdale"/>
    <hyperlink ref="AE164" r:id="rId518" display="https://local.yahoo.com/info-14319666-egg-you-diner-fort-lauderdale/"/>
    <hyperlink ref="N165" r:id="rId519" display="https://www.birchpatio.com/contact-us"/>
    <hyperlink ref="AA165" r:id="rId520" display="https://www.facebook.com/p/Birch-Patio-Motel-100069655021722/"/>
    <hyperlink ref="AD165" r:id="rId521" display="https://www.yelp.com/biz/birch-patio-motel-fort-lauderdale"/>
    <hyperlink ref="AE165" r:id="rId522" display="https://www.birchpatio.com/contact-us"/>
    <hyperlink ref="N166" r:id="rId523" display="https://flamingofishing.com/"/>
    <hyperlink ref="AE166" r:id="rId524" display="https://flamingofishing.com/"/>
    <hyperlink ref="N167" r:id="rId525" display="https://www.yelp.com/biz/giralda-cleaners-coral-gables-4"/>
    <hyperlink ref="AD167" r:id="rId526" display="https://www.yelp.com/biz/giralda-cleaners-coral-gables-4"/>
    <hyperlink ref="AE167" r:id="rId527" display="https://www.giraldacleaners.com/about/"/>
    <hyperlink ref="N168" r:id="rId528" display="https://www.yelp.com/biz/botanica-teniola-hialeah-2"/>
    <hyperlink ref="AA168" r:id="rId529" display="https://www.facebook.com/teniola.botanica/"/>
    <hyperlink ref="AB168" r:id="rId530" display="https://www.instagram.com/teniola_botanica/"/>
    <hyperlink ref="AD168" r:id="rId531" display="https://www.yelp.com/biz/botanica-teniola-hialeah-2"/>
    <hyperlink ref="AE168" r:id="rId532" display="https://www.yelp.com/biz/botanica-teniola-hialeah-2"/>
    <hyperlink ref="N169" r:id="rId533" display="https://www.yelp.com/biz/botanica-olocun-hialeah"/>
    <hyperlink ref="AD169" r:id="rId534" display="https://www.yelp.com/biz/botanica-olocun-hialeah"/>
    <hyperlink ref="AE169" r:id="rId535" display="https://www.yelp.com/biz/botanica-olocun-hialeah"/>
    <hyperlink ref="N170" r:id="rId536" display="https://www.yelp.com/biz/botanica-ache-iboru-hialeah"/>
    <hyperlink ref="AD170" r:id="rId537" display="https://www.yelp.com/biz/botanica-ache-iboru-hialeah"/>
    <hyperlink ref="AE170" r:id="rId538" display="https://www.yelp.com/biz/botanica-ache-iboru-hialeah"/>
    <hyperlink ref="N171" r:id="rId539" display="https://www.yelp.com/biz/botanica-inshe-hialeah"/>
    <hyperlink ref="AD171" r:id="rId540" display="https://www.yelp.com/biz/botanica-inshe-hialeah"/>
    <hyperlink ref="AE171" r:id="rId541" display="https://www.yelp.com/biz/botanica-inshe-hialeah"/>
    <hyperlink ref="N172" r:id="rId542" display="https://www.yelp.com/biz/botanica-ibu-kole5-hialeah"/>
    <hyperlink ref="AD172" r:id="rId543" display="https://www.yelp.com/biz/botanica-ibu-kole5-hialeah"/>
    <hyperlink ref="AE172" r:id="rId544" display="https://www.yelp.com/biz/botanica-ibu-kole5-hialeah"/>
    <hyperlink ref="N173" r:id="rId545" display="https://www.miaminewtimes.com/location/botanica-nena-6420256/"/>
    <hyperlink ref="AA173" r:id="rId546" display="https://www.facebook.com/botanicanena1/"/>
    <hyperlink ref="AD173" r:id="rId547" display="https://www.yelp.com/biz/botanica-nena-miami-2"/>
    <hyperlink ref="AE173" r:id="rId548" display="https://www.bbb.org/us/fl/miami/profile/religious-goods/botanica-nena-0633-90212586"/>
    <hyperlink ref="N174" r:id="rId549" display="https://www.yelp.com/biz/mi-casa-furniture-hialeah-2"/>
    <hyperlink ref="AD174" r:id="rId550" display="https://www.yelp.com/biz/mi-casa-furniture-hialeah-2"/>
    <hyperlink ref="AE174" r:id="rId551" display="https://www.yellowpages.com/hialeah-fl/mip/mi-casa-furniture-3828093"/>
    <hyperlink ref="N175" r:id="rId552" display="https://www.yelp.com/biz/rana-furniture-hialeah-3"/>
    <hyperlink ref="AD175" r:id="rId553" display="https://www.yelp.com/biz/rana-furniture-hialeah-3"/>
    <hyperlink ref="AE175" r:id="rId554" display="https://www.yelp.com/biz/rana-furniture-hialeah-3"/>
    <hyperlink ref="N176" r:id="rId555" display="https://www.yelp.com/biz/tire-factory-outlet-hialeah"/>
    <hyperlink ref="AA176" r:id="rId556" display="https://www.facebook.com/TFOMIA/"/>
    <hyperlink ref="AD176" r:id="rId557" display="https://www.yelp.com/biz/tire-factory-outlet-hialeah"/>
    <hyperlink ref="AE176" r:id="rId558" display="https://www.bbb.org/us/fl/hialeah/profile/tire-dealers/tire-factory-outlet-inc-0633-92018796"/>
    <hyperlink ref="N177" r:id="rId559" display="https://www.yelp.com/biz/gladys-tires-hialeah-2"/>
    <hyperlink ref="AA177" r:id="rId560" display="https://www.facebook.com/gladystires/"/>
    <hyperlink ref="AD177" r:id="rId561" display="https://www.yelp.com/biz/gladys-tires-hialeah-2"/>
    <hyperlink ref="AE177" r:id="rId562" display="https://www.yellowpages.com/hialeah-fl/mip/gladys-tires-2334157"/>
    <hyperlink ref="N178" r:id="rId563" display="https://reviews.birdeye.com/tires-world-corp-156071049544232"/>
    <hyperlink ref="AB178" r:id="rId564" display="https://www.instagram.com/tiresworldcorp/"/>
    <hyperlink ref="AD178" r:id="rId565" display="https://www.yelp.com/biz/tires-world-hialeah-2"/>
    <hyperlink ref="AE178" r:id="rId566" display="https://reviews.birdeye.com/tires-world-corp-156071049544232"/>
    <hyperlink ref="N179" r:id="rId567" display="https://www.southdadenewsleader.com/archives/home-hardware---a-fixture-in-homestead/article_efebc0c6-d95b-578d-a0e1-b6799b5b9805.html"/>
    <hyperlink ref="AD179" r:id="rId568" display="https://www.yelp.com/biz/home-hardware-and-supply-homestead-2"/>
    <hyperlink ref="AE179" r:id="rId569" display="https://www.yellowpages.com/homestead-fl/mip/home-hardware-supply-inc-10768996"/>
    <hyperlink ref="N180" r:id="rId570" display="https://www.bbb.org/us/fl/homestead/profile/lawn-maintenance/a-w-complete-lawn-care-inc-0633-7003076"/>
    <hyperlink ref="AE180" r:id="rId571" display="https://www.yellowpages.com/homestead-fl/mip/a-w-complete-lawn-care-inc-6053563"/>
    <hyperlink ref="N181" r:id="rId572" display="https://www.bbb.org/us/fl/homestead/profile/landscape-maintenance/mcintyre-maintenance-inc-0633-90425590"/>
    <hyperlink ref="AE181" r:id="rId573" display="https://www.homeadvisor.com/sp/mcintyre-maintenance"/>
    <hyperlink ref="N182" r:id="rId574" display="https://www.bbb.org/us/fl/homestead/profile/landscape-contractors/rock-rose-lawn-care-llc-0633-92053672"/>
    <hyperlink ref="N183" r:id="rId575" display="https://www.bbb.org/us/fl/miami/profile/pest-control/florida-pest-specialists-inc-0633-90332736"/>
    <hyperlink ref="AD183" r:id="rId576" display="https://www.yelp.com/biz/florida-pest-specialists-miami"/>
    <hyperlink ref="AE183" r:id="rId577" display="https://www.bbb.org/us/fl/miami/profile/pest-control/florida-pest-specialists-inc-0633-90332736"/>
    <hyperlink ref="N184" r:id="rId578" display="https://www.bbb.org/us/fl/miami/profile/pest-control/floridian-pest-control-0633-90036096"/>
    <hyperlink ref="AD184" r:id="rId579" display="https://www.yelp.com/biz/floridian-pest-control-miami"/>
    <hyperlink ref="AE184" r:id="rId580" display="https://www.manta.com/c/mx47hs2/floridian-pest-control"/>
    <hyperlink ref="N185" r:id="rId581" display="https://www.bbb.org/us/fl/miramar/profile/burglar-alarm-systems/safeguard-security-international-inc-0633-92016539/"/>
    <hyperlink ref="AE185" r:id="rId582" display="https://www.bbb.org/us/fl/miramar/profile/burglar-alarm-systems/safeguard-security-international-inc-0633-92016539/"/>
    <hyperlink ref="N186" r:id="rId583" display="https://www.yelp.com/biz/neighbors-moving-and-storage-pompano-beach-3"/>
    <hyperlink ref="AD186" r:id="rId584" display="https://www.yelp.com/biz/neighbors-moving-and-storage-pompano-beach-3"/>
    <hyperlink ref="AE186" r:id="rId585" display="https://www.bbb.org/us/fl/pompano-beach/profile/moving-companies/neighbors-moving-services-inc-0633-90059835"/>
    <hyperlink ref="N187" r:id="rId586" display="https://childcarecenter.us/provider_detail/nanas_child_care_inc_hialeah_fl"/>
    <hyperlink ref="AA187" r:id="rId587" display="https://www.facebook.com/p/Nanas-Child-Care-Learning-Center-Inc-100057056304794/"/>
    <hyperlink ref="AD187" r:id="rId588" display="https://www.yelp.com/biz/nanas-child-care-hialeah"/>
    <hyperlink ref="AE187" r:id="rId589" display="https://childcarecenter.us/provider_detail/nanas_child_care_inc_hialeah_fl"/>
    <hyperlink ref="N188" r:id="rId590" display="https://www.buzzfile.com/business/A-1-Mirta-Driving-School-305-836-6681"/>
    <hyperlink ref="AD188" r:id="rId591" display="https://www.yelp.com/biz/a-1-mirta-driving-school-hialeah"/>
    <hyperlink ref="AE188" r:id="rId592" display="https://www.buzzfile.com/business/A-1-Mirta-Driving-School-305-836-6681"/>
    <hyperlink ref="N189" r:id="rId593" display="https://www.yelp.com/biz/24-hour-traffic-and-driving-school-hialeah"/>
    <hyperlink ref="AD189" r:id="rId594" display="https://www.yelp.com/biz/24-hour-traffic-and-driving-school-hialeah"/>
    <hyperlink ref="AE189" r:id="rId595" display="https://www.yelp.com/biz/24-hour-traffic-and-driving-school-hialeah"/>
    <hyperlink ref="N190" r:id="rId596" display="http://www.wisechoicetutoring.com/"/>
    <hyperlink ref="AA190" r:id="rId597" display="https://www.facebook.com/wisechoicetutoringKENDALL/"/>
    <hyperlink ref="AD190" r:id="rId598" display="https://www.yelp.com/biz/wise-choice-tutoring-center-miami"/>
    <hyperlink ref="AE190" r:id="rId599" display="https://www.yelp.com/biz/wise-choice-tutoring-center-miami"/>
    <hyperlink ref="N191" r:id="rId600" display="https://www.yelp.com/biz/music-legacies-pembroke-pines"/>
    <hyperlink ref="AA191" r:id="rId601" display="https://www.facebook.com/MusicLegacies/"/>
    <hyperlink ref="AB191" r:id="rId602" display="https://www.instagram.com/musiclegacies/"/>
    <hyperlink ref="AD191" r:id="rId603" display="https://www.yelp.com/biz/music-legacies-pembroke-pines"/>
    <hyperlink ref="AE191" r:id="rId604" display="https://www.yelp.com/biz/music-legacies-pembroke-pines"/>
    <hyperlink ref="N192" r:id="rId605" display="https://www.yelp.com/biz/music-tech-studios-pembroke-pines"/>
    <hyperlink ref="AA192" r:id="rId606" display="https://www.facebook.com/MusicTechStudios/"/>
    <hyperlink ref="AD192" r:id="rId607" display="https://www.yelp.com/biz/music-tech-studios-pembroke-pines"/>
    <hyperlink ref="AE192" r:id="rId608" display="https://musictechstudios.com/"/>
    <hyperlink ref="N193" r:id="rId609" display="https://www.yelp.com/biz/the-hit-music-studio-pembroke-pines-pembroke-pines"/>
    <hyperlink ref="AD193" r:id="rId610" display="https://www.yelp.com/biz/the-hit-music-studio-pembroke-pines-pembroke-pines"/>
    <hyperlink ref="N194" r:id="rId611" display="https://labellebeauty.net/contact-us/la-belle-school-hialeah"/>
    <hyperlink ref="AA194" r:id="rId612" display="https://www.facebook.com/LaBelleSchools"/>
    <hyperlink ref="AD194" r:id="rId613" display="https://www.yelp.com/biz/la-belle-beauty-school-hialeah"/>
    <hyperlink ref="AE194" r:id="rId614" display="https://labellebeauty.net/contact-us/la-belle-school-hialeah"/>
    <hyperlink ref="N195" r:id="rId615" display="https://www.yelp.com/biz/beauty-schools-of-america-hialeah"/>
    <hyperlink ref="AD195" r:id="rId616" display="https://www.yelp.com/biz/beauty-schools-of-america-hialeah"/>
    <hyperlink ref="N196" r:id="rId617" display="https://www.bbb.org/us/fl/miami/profile/driving-lessons/metro-traffic-school-0633-20002069"/>
    <hyperlink ref="AA196" r:id="rId618" display="https://www.facebook.com/MetroTrafficSchool/"/>
    <hyperlink ref="AE196" r:id="rId619" display="https://www.bbb.org/us/fl/miami/profile/driving-lessons/metro-traffic-school-0633-20002069"/>
    <hyperlink ref="N197" r:id="rId620" display="https://www.bbb.org/us/fl/miami-gardens/profile/auto-repair/als-auto-service-inc-0633-90086392"/>
    <hyperlink ref="AD197" r:id="rId621" display="https://www.yelp.com/biz/als-auto-service-center-miami-gardens"/>
    <hyperlink ref="AE197" r:id="rId622" display="https://alsautoserviceinc.com/contact/"/>
    <hyperlink ref="N198" r:id="rId623" display="https://www.yelp.com/biz/elios-locksmith-miami-2"/>
    <hyperlink ref="AD198" r:id="rId624" display="https://www.yelp.com/biz/elios-locksmith-miami-2"/>
    <hyperlink ref="AE198" r:id="rId625" display="https://www.elioslocksmith.com/contact-form/"/>
    <hyperlink ref="N199" r:id="rId626" display="https://hadleydavisfuneralhome.com/about-us/"/>
    <hyperlink ref="AA199" r:id="rId627" display="https://www.facebook.com/HadleyDavisFHMAIN/"/>
    <hyperlink ref="AE199" r:id="rId628" display="https://everloved.com/funeral-homes/FL/miami-gardens/hadley-davis-funeral-home-miami-gardens-fl-33054/"/>
    <hyperlink ref="N200" r:id="rId629" display="https://www.bbb.org/us/fl/coral-gables/profile/travel-agency/oasis-travel-and-tours-inc-0633-92004092"/>
    <hyperlink ref="AA200" r:id="rId630" display="https://www.facebook.com/p/Oasis-Travel-Tours-100092281502112/"/>
    <hyperlink ref="AD200" r:id="rId631" display="https://www.yelp.com/biz/oasis-travel-and-tours-coral-gables"/>
    <hyperlink ref="AE200" r:id="rId632" display="https://www.yelp.com/biz/oasis-travel-and-tours-coral-gables"/>
    <hyperlink ref="N201" r:id="rId633" display="https://www.totaltravelmarine.com/about/"/>
    <hyperlink ref="AE201" r:id="rId634" display="https://www.yellowpages.com/coral-gables-fl/mip/total-travel-marine-465681415"/>
    <hyperlink ref="N202" r:id="rId635" display="https://lawyers.findlaw.com/profile/view/5159008_1"/>
    <hyperlink ref="AA202" r:id="rId636" display="https://www.facebook.com/p/Cameron-Law-Group-100057515346188/"/>
    <hyperlink ref="AD202" r:id="rId637" display="https://www.yelp.com/biz/cameron-law-group-tamarac"/>
    <hyperlink ref="AE202" r:id="rId638" display="https://cameronlawgroup.com/contact-us/"/>
    <hyperlink ref="N203" r:id="rId639" display="https://www.yellowpages.com/coral-springs-fl/upholsterers"/>
    <hyperlink ref="AE203" r:id="rId640" display="https://www.yellowpages.com/coral-springs-fl/upholsterers"/>
    <hyperlink ref="N204" r:id="rId641" display="https://www.yelp.com/biz/eduardos-jewelry-and-watch-repair-shop-coral-gables"/>
    <hyperlink ref="AA204" r:id="rId642" display="https://www.facebook.com/eduardosjewelry/"/>
    <hyperlink ref="AD204" r:id="rId643" display="https://www.yelp.com/biz/eduardos-jewelry-and-watch-repair-shop-coral-gables"/>
    <hyperlink ref="AE204" r:id="rId644" display="https://www.yasabe.com/en/miami-fl/d-692494424-eduardos-jewerly-and-watch-repair-jewelry-watches-service-repair.html"/>
    <hyperlink ref="N205" r:id="rId645" display="https://www.yelp.com/biz/kings-pawn-fort-lauderdale"/>
    <hyperlink ref="AA205" r:id="rId646" display="https://www.facebook.com/kingspawnfortlauderdale/"/>
    <hyperlink ref="AD205" r:id="rId647" display="https://www.yelp.com/biz/kings-pawn-fort-lauderdale"/>
    <hyperlink ref="AE205" r:id="rId648" display="https://www.pawnshops.net/store/Kings-Pawn-Shop/15974"/>
    <hyperlink ref="N206" r:id="rId649" display="https://www.yelp.com/biz/alberts-fine-jewelers-miami"/>
    <hyperlink ref="AD206" r:id="rId650" display="https://www.yelp.com/biz/alberts-fine-jewelers-miami"/>
    <hyperlink ref="AE206" r:id="rId651" display="https://seyboldjewelry.com/alberts-fine-jewelers/"/>
    <hyperlink ref="N207" r:id="rId652" display="https://www.yelp.com/biz/miros-watch-repair-miami"/>
    <hyperlink ref="AD207" r:id="rId653" display="https://www.yelp.com/biz/miros-watch-repair-miami"/>
    <hyperlink ref="AE207" r:id="rId654" display="https://www.watchrepairinmiamifl.com/contact/"/>
    <hyperlink ref="N208" r:id="rId655" display="https://www.yelp.com/biz/s-a-watch-repair-miami"/>
    <hyperlink ref="AD208" r:id="rId656" display="https://www.yelp.com/biz/s-a-watch-repair-miami"/>
    <hyperlink ref="AE208" r:id="rId657" display="https://www.yelp.com/biz/s-a-watch-repair-miami"/>
    <hyperlink ref="N209" r:id="rId658" display="https://seyboldjewelry.com/nemaro-jewelers-inc/"/>
    <hyperlink ref="AB209" r:id="rId659" display="https://www.instagram.com/nemarojewelers/"/>
    <hyperlink ref="AD209" r:id="rId660" display="https://www.yelp.com/biz/nemaro-jewelers-miami"/>
    <hyperlink ref="AE209" r:id="rId661" display="https://www.nemarojewelers.com/contact/"/>
    <hyperlink ref="N210" r:id="rId662" display="https://eyeglassemporiummiami.com/"/>
    <hyperlink ref="AA210" r:id="rId663" display="https://www.facebook.com/eyeglassemporium/"/>
    <hyperlink ref="AD210" r:id="rId664" display="https://www.yelp.com/biz/eyeglass-emporium-miami-beach"/>
    <hyperlink ref="AE210" r:id="rId665" display="https://eyeglassemporiummiami.com/contact-us/"/>
    <hyperlink ref="N211" r:id="rId666" display="https://www.yelp.com/biz/exotic-eyewear-optical-fort-lauderdale"/>
    <hyperlink ref="AA211" r:id="rId667" display="https://www.facebook.com/eyewearopticalftlauderdale/"/>
    <hyperlink ref="AD211" r:id="rId668" display="https://www.yelp.com/biz/exotic-eyewear-optical-fort-lauderdale"/>
    <hyperlink ref="AE211" r:id="rId669" display="https://exoticeyewearoptical.com/contact-us.html"/>
    <hyperlink ref="N212" r:id="rId670" display="https://www.yelp.com/biz/optica-lopez-miami"/>
    <hyperlink ref="AA212" r:id="rId671" display="https://www.facebook.com/p/Optica-Lopez-100066310637470/"/>
    <hyperlink ref="AD212" r:id="rId672" display="https://www.yelp.com/biz/optica-lopez-miami"/>
    <hyperlink ref="AE212" r:id="rId673" display="https://opticallopez.com/contact-us/"/>
    <hyperlink ref="N213" r:id="rId674" display="https://www.yelp.com/biz/minebender-jewelers-hollywood"/>
    <hyperlink ref="AA213" r:id="rId675" display="https://www.facebook.com/MinebenderJewelers/"/>
    <hyperlink ref="AB213" r:id="rId676" display="https://www.instagram.com/minebenderjewelers/"/>
    <hyperlink ref="AD213" r:id="rId677" display="https://www.yelp.com/biz/minebender-jewelers-hollywood"/>
    <hyperlink ref="AE213" r:id="rId678" display="https://jewelers.cmac.ws/minebender-jewelry/55656/"/>
    <hyperlink ref="N214" r:id="rId679" display="https://www.yelp.com/biz/entonces-watch-and-jewelry-repair-aventura-2"/>
    <hyperlink ref="AD214" r:id="rId680" display="https://www.yelp.com/biz/entonces-watch-and-jewelry-repair-aventura-2"/>
    <hyperlink ref="AE214" r:id="rId681" display="https://www.chamberofcommerce.com/business-directory/florida/aventura/watch-repair-service/2006700389-entonces-jewelry-and-watch-repair"/>
    <hyperlink ref="N215" r:id="rId682" display="https://carrollsjewelers.com/pages/our-history"/>
    <hyperlink ref="AC215" r:id="rId683" display="https://www.linkedin.com/company/carrollsjewelers"/>
    <hyperlink ref="AD215" r:id="rId684" display="https://www.yelp.com/biz/carrolls-jewelers-fort-lauderdale"/>
    <hyperlink ref="AE215" r:id="rId685" display="https://carrollsjewelers.com/pages/contact-us"/>
    <hyperlink ref="N216" r:id="rId686" display="https://www.yelp.com/biz/morningstars-jewelers-and-pawnbrokers-hollywood"/>
    <hyperlink ref="AA216" r:id="rId687" display="https://www.facebook.com/MorningstarsJewelersPawnbrokers/"/>
    <hyperlink ref="AD216" r:id="rId688" display="https://www.yelp.com/biz/morningstars-jewelers-and-pawnbrokers-hollywood"/>
    <hyperlink ref="AE216" r:id="rId689" display="https://morningstarsjewelers.com/pages/contact"/>
    <hyperlink ref="N217" r:id="rId690" display="https://dixiepawnfl.com/about/"/>
    <hyperlink ref="AA217" r:id="rId691" display="https://www.facebook.com/dixiepawnfl/"/>
    <hyperlink ref="AD217" r:id="rId692" display="https://www.yelp.com/biz/dixie-pawn-and-jewelry-hollywood"/>
    <hyperlink ref="AE217" r:id="rId693" display="https://dixiepawnfl.com/"/>
    <hyperlink ref="N218" r:id="rId694" display="https://www.yelp.com/biz/lendoiro-jewelry-and-pawn-shop-miami"/>
    <hyperlink ref="AA218" r:id="rId695" display="https://www.facebook.com/p/Lendoiro-Jewelry-Pawn-Shop-100080149462138/"/>
    <hyperlink ref="AB218" r:id="rId696" display="https://www.instagram.com/joyerialendoiromiami/"/>
    <hyperlink ref="AD218" r:id="rId697" display="https://www.yelp.com/biz/lendoiro-jewelry-and-pawn-shop-miami"/>
    <hyperlink ref="AE218" r:id="rId698" display="https://www.pawnshops.net/store/Lendoiro-Jewelry-and-Pawn-Shop/8861"/>
    <hyperlink ref="N219" r:id="rId699" display="https://www.yelp.com/biz/parko-jewelry-and-pawn-miami"/>
    <hyperlink ref="AA219" r:id="rId700" display="https://www.facebook.com/parkojewelry/"/>
    <hyperlink ref="AD219" r:id="rId701" display="https://www.yelp.com/biz/parko-jewelry-and-pawn-miami"/>
    <hyperlink ref="AE219" r:id="rId702" display="https://citytocitymarket.com/parko-jewelry-and-pawn-miami"/>
    <hyperlink ref="N220" r:id="rId703" display="https://www.yelp.com/biz/el-diamante-jewelry-and-pawn-miami"/>
    <hyperlink ref="AA220" r:id="rId704" display="https://www.facebook.com/p/El-Diamant%C3%A9-Jewelry-Pawn-100063495432776/"/>
    <hyperlink ref="AD220" r:id="rId705" display="https://www.yelp.com/biz/el-diamante-jewelry-and-pawn-miami"/>
    <hyperlink ref="AE220" r:id="rId706" display="https://www.bbb.org/us/fl/miami/profile/pawnbroker/el-diamante-jewelry-pawn-0633-92004423"/>
    <hyperlink ref="N221" r:id="rId707" display="https://m.m.yelp.com/biz/team-perfume-center-miami-2"/>
    <hyperlink ref="AD221" r:id="rId708" display="https://m.m.yelp.com/biz/team-perfume-center-miami-2"/>
    <hyperlink ref="AE221" r:id="rId709" display="https://www.superpages.com/miami-fl/bpp/team-perfume-center-8967915"/>
    <hyperlink ref="N222" r:id="rId710" display="https://www.yelp.com/biz/bellis-perfumes-miami-5"/>
    <hyperlink ref="AA222" r:id="rId711" display="https://www.facebook.com/bellisperfumes/"/>
    <hyperlink ref="AB222" r:id="rId712" display="https://www.instagram.com/bellisfragances/"/>
    <hyperlink ref="AD222" r:id="rId713" display="https://www.yelp.com/biz/bellis-perfumes-miami-5"/>
    <hyperlink ref="AE222" r:id="rId714" display="https://www.yelp.com/biz/bellis-perfumes-miami-5"/>
    <hyperlink ref="N223" r:id="rId715" display="https://labelleperfumes.com/"/>
    <hyperlink ref="AA223" r:id="rId716" display="https://www.facebook.com/LaBellePerfumeDistributors/"/>
    <hyperlink ref="AC223" r:id="rId717" display="https://www.linkedin.com/company/la-belle-perfume-distributors"/>
    <hyperlink ref="AD223" r:id="rId718" display="https://www.yelp.com/biz/la-belle-perfume-distributors-miami"/>
    <hyperlink ref="AE223" r:id="rId719" display="https://www.bbb.org/us/fl/miami/profile/perfume/la-belle-distributors-inc-0633-90153178"/>
    <hyperlink ref="N224" r:id="rId720" display="https://seyboldjewelry.com/bos-jewelers-inc/"/>
    <hyperlink ref="AD224" r:id="rId721" display="https://www.yelp.com/biz/bos-jewelers-miami"/>
    <hyperlink ref="AE224" r:id="rId722" display="https://www.alignable.com/miami-fl/b-o-s-jewelers-inc"/>
    <hyperlink ref="N225" r:id="rId723" display="https://www.yelp.com/biz/lelook-optical-north-miami"/>
    <hyperlink ref="AD225" r:id="rId724" display="https://www.yelp.com/biz/lelook-optical-north-miami"/>
    <hyperlink ref="AE225" r:id="rId725" display="https://www.yellowpages.com/north-miami-fl/mip/le-look-optical-inc-11109334"/>
    <hyperlink ref="N226" r:id="rId726" display="https://www.yelp.com/biz/home-optical-miami-beach"/>
    <hyperlink ref="AA226" r:id="rId727" display="https://www.facebook.com/homeopticaUSA/"/>
    <hyperlink ref="AD226" r:id="rId728" display="https://www.yelp.com/biz/home-optical-miami-beach"/>
    <hyperlink ref="AE226" r:id="rId729" display="https://home-optical.miamibeachdirect.us/contact/"/>
    <hyperlink ref="N227" r:id="rId730" display="https://www.jaesjewelers.com/"/>
    <hyperlink ref="AA227" r:id="rId731" display="https://www.facebook.com/jaesjewelers/"/>
    <hyperlink ref="AD227" r:id="rId732" display="https://www.yelp.com/biz/jaes-jewelers-coral-gables"/>
    <hyperlink ref="AE227" r:id="rId733" display="https://www.jaesjewelers.com/pages/contact-us"/>
    <hyperlink ref="N228" r:id="rId734" display="https://www.yelp.com/biz/richards-gems-and-jewelry-miami"/>
    <hyperlink ref="AA228" r:id="rId735" display="https://www.facebook.com/RichardsJewelryMiami/"/>
    <hyperlink ref="AC228" r:id="rId736" display="https://www.linkedin.com/company/richards-gems-jewelry"/>
    <hyperlink ref="AD228" r:id="rId737" display="https://www.yelp.com/biz/richards-gems-and-jewelry-miami"/>
    <hyperlink ref="AE228" r:id="rId738" display="https://www.bbb.org/us/fl/miami/profile/jewelry-stores/richards-gems-jewelry-0633-5003813"/>
    <hyperlink ref="N229" r:id="rId739" display="https://www.yelp.com/biz/watch-repair-miami-3"/>
    <hyperlink ref="AD229" r:id="rId740" display="https://www.yelp.com/biz/watch-repair-miami-3"/>
    <hyperlink ref="AE229" r:id="rId741" display="https://www.superpages.com/miami-fl/bpp/watch-repair-inc-13696555"/>
    <hyperlink ref="N230" r:id="rId742" display="https://www.yelp.com/biz/kendall-jewelry-miami"/>
    <hyperlink ref="AD230" r:id="rId743" display="https://www.yelp.com/biz/kendall-jewelry-miami"/>
    <hyperlink ref="AE230" r:id="rId744" display="https://www.pawnshops.net/store/Kendale-Jewelry-and-Pawn-II/14659"/>
    <hyperlink ref="N231" r:id="rId745" display="https://chantillyjewels.com/about-us/"/>
    <hyperlink ref="AD231" r:id="rId746" display="https://www.yelp.com/biz/chantilly-jewels-miami"/>
    <hyperlink ref="AE231" r:id="rId747" display="https://chantillyjewels.com/contact/"/>
    <hyperlink ref="N232" r:id="rId748" display="https://www.uscoinshows.com/dealers/fl/we-buy-gold-nmb"/>
    <hyperlink ref="AD232" r:id="rId749" display="https://www.yelp.com/biz/we-buy-gold-north-miami-beach-north-miami-beach"/>
    <hyperlink ref="AE232" r:id="rId750" display="https://www.webuygoldnmb.com/"/>
    <hyperlink ref="N233" r:id="rId751" display="https://www.classicpawn.com/about-us"/>
    <hyperlink ref="AD233" r:id="rId752" display="https://www.yelp.com/biz/classic-pawn-and-jewelry-fort-lauderdale"/>
    <hyperlink ref="AE233" r:id="rId753" display="https://www.yelp.com/biz/classic-pawn-and-jewelry-fort-lauderdale"/>
    <hyperlink ref="N234" r:id="rId754" display="https://www.yelp.com/biz/carolinas-design-and-alterations-coral-gables"/>
    <hyperlink ref="AD234" r:id="rId755" display="https://www.yelp.com/biz/carolinas-design-and-alterations-coral-gables"/>
    <hyperlink ref="AE234" r:id="rId756" display="https://nextdoor.com/pages/carolinas-design-alterations-coral-gables-fl/"/>
    <hyperlink ref="N235" r:id="rId757" display="https://www.yelp.com/biz/magic-tailoring-coral-gables"/>
    <hyperlink ref="AA235" r:id="rId758" display="https://www.facebook.com/p/Magic-Tailoring-100063447624388/"/>
    <hyperlink ref="AD235" r:id="rId759" display="https://www.yelp.com/biz/magic-tailoring-coral-gables"/>
    <hyperlink ref="AE235" r:id="rId760" display="https://www.yellowpages.com/coral-gables-fl/mip/magic-tailoring-13414366"/>
    <hyperlink ref="N236" r:id="rId761" display="https://www.yelp.com/biz/sartori-amici-coral-gables-3"/>
    <hyperlink ref="AD236" r:id="rId762" display="https://www.yelp.com/biz/sartori-amici-coral-gables-3"/>
    <hyperlink ref="AE236" r:id="rId763" display="https://site.coralgableschamber.org/Retail/Sartori-Amici-My-Grooms-Room-9146"/>
    <hyperlink ref="N237" r:id="rId764" display="https://www.pinaboutique.com/about.html"/>
    <hyperlink ref="AA237" r:id="rId765" display="https://www.facebook.com/p/Pina-Fashions-100054673860167/"/>
    <hyperlink ref="AD237" r:id="rId766" display="https://www.yelp.com/biz/pina-tailoring-and-alterations-fort-lauderdale"/>
    <hyperlink ref="AE237" r:id="rId767" display="https://www.pinaboutique.com/directions.html"/>
    <hyperlink ref="N238" r:id="rId768" display="https://www.yelp.com/biz/deborah-james-fort-lauderdale"/>
    <hyperlink ref="AA238" r:id="rId769" display="https://www.facebook.com/DeborahJamesLasOlas/"/>
    <hyperlink ref="AD238" r:id="rId770" display="https://www.yelp.com/biz/deborah-james-fort-lauderdale"/>
    <hyperlink ref="AE238" r:id="rId771" display="https://www.yellowpages.com/fort-lauderdale-fl/mip/deborah-james-6667899"/>
    <hyperlink ref="N239" r:id="rId772" display="https://www.yelp.com/biz/olem-shoe-corp-miami-2"/>
    <hyperlink ref="AA239" r:id="rId773" display="https://www.facebook.com/OlemShoeCorp/"/>
    <hyperlink ref="AD239" r:id="rId774" display="https://www.yelp.com/biz/olem-shoe-corp-miami-2"/>
    <hyperlink ref="AE239" r:id="rId775" display="https://olemshoe.com/about-us/"/>
    <hyperlink ref="N240" r:id="rId776" display="https://www.yellowpages.com/miami-fl/mip/magnolia-fashion-wholesale-545604198"/>
    <hyperlink ref="AA240" r:id="rId777" display="https://www.facebook.com/MagnoliaFashionWholesale/"/>
    <hyperlink ref="AE240" r:id="rId778" display="https://magnolia-fashion-wholesale.miamidirect.us/contact/"/>
    <hyperlink ref="N241" r:id="rId779" display="https://gablesbridaldoral.com/about"/>
    <hyperlink ref="AA241" r:id="rId780" display="https://www.facebook.com/coralgablesbridals/"/>
    <hyperlink ref="AB241" r:id="rId781" display="https://www.instagram.com/gablesbridaldoral/"/>
    <hyperlink ref="AE241" r:id="rId782" display="https://local.yahoo.com/info-237171825-gables-bridal-doral/"/>
    <hyperlink ref="N242" r:id="rId783" display="https://www.yelp.com/biz/professional-tailoring-coral-springs"/>
    <hyperlink ref="AD242" r:id="rId784" display="https://www.yelp.com/biz/professional-tailoring-coral-springs"/>
    <hyperlink ref="AE242" r:id="rId785" display="https://www.bizprofile.net/fl/coral-springs/professional-tailoring-inc"/>
    <hyperlink ref="N243" r:id="rId786" display="https://jeanerationboutique.com/"/>
    <hyperlink ref="AA243" r:id="rId787" display="https://www.facebook.com/jeanerationboutique/"/>
    <hyperlink ref="AD243" r:id="rId788" display="https://www.yelp.com/biz/jeaneration-coral-springs"/>
    <hyperlink ref="AE243" r:id="rId789" display="https://www.yellowpages.com/coral-springs-fl/mip/jeaneration-474699781"/>
    <hyperlink ref="N244" r:id="rId790" display="https://www.yelp.com/biz/bikini-brasil-miami-beach"/>
    <hyperlink ref="AA244" r:id="rId791" display="https://www.facebook.com/Bikinibrasil/"/>
    <hyperlink ref="AB244" r:id="rId792" display="https://www.instagram.com/bikinibrasilboutique/"/>
    <hyperlink ref="AD244" r:id="rId793" display="https://www.yelp.com/biz/bikini-brasil-miami-beach"/>
    <hyperlink ref="AE244" r:id="rId794" display="https://www.yelp.com/biz/bikini-brasil-miami-beach"/>
    <hyperlink ref="N245" r:id="rId795" display="https://www.lonelyplanet.com/usa/florida/miami/little-havana/shopping/havana-collection/a/poi-sho/1348918/1341620"/>
    <hyperlink ref="AA245" r:id="rId796" display="https://www.facebook.com/THEHAVANACOLLECTION/"/>
    <hyperlink ref="AD245" r:id="rId797" display="https://www.yelp.com/biz/the-havana-shirt-store-miami"/>
    <hyperlink ref="AE245" r:id="rId798" display="https://calleochonews.com/fidel-asis-opens-another-havana-collection-location-inside-futurama-art-galleries/"/>
    <hyperlink ref="N246" r:id="rId799" display="https://www.frommers.com/destinations/miami/shopping/la-casa-de-las-guayaberas/"/>
    <hyperlink ref="AA246" r:id="rId800" display="https://www.facebook.com/ramonpuigguayaberas/"/>
    <hyperlink ref="AE246" r:id="rId801" display="https://www.yellowpages.com/west-miami-fl/mip/la-casa-de-las-guayaberas-6864106"/>
    <hyperlink ref="N247" r:id="rId802" display="https://www.superpages.com/bp/weston-fl/isabel-boutique-L2189573306.htm"/>
    <hyperlink ref="AD247" r:id="rId803" display="https://www.yelp.com/biz/isabel-boutique-weston"/>
    <hyperlink ref="AE247" r:id="rId804" display="https://www.yellowpages.com/weston-fl/mip/isabel-boutique-452277547"/>
    <hyperlink ref="N248" r:id="rId805" display="https://shoegallerymiami.com/pages/store-information"/>
    <hyperlink ref="AD248" r:id="rId806" display="https://www.yelp.com/biz/shoe-gallery-miami"/>
    <hyperlink ref="AE248" r:id="rId807" display="https://www.yelp.com/biz/shoe-gallery-miami"/>
    <hyperlink ref="N249" r:id="rId808" display="https://www.dandb.com/businessdirectory/pinesalterations-pembrokepines-fl-28488386.html"/>
    <hyperlink ref="AD249" r:id="rId809" display="https://www.yelp.com/biz/pines-alteration-pembroke-pines"/>
    <hyperlink ref="AE249" r:id="rId810" display="https://www.bbb.org/us/fl/pembroke-pines/profile/clothing-alterations/pines-alterations-and-tailoring-0633-90081510"/>
    <hyperlink ref="N250" r:id="rId811" display="https://www.yelp.com/biz/warehouse-uniform-and-embroidery-doral"/>
    <hyperlink ref="AD250" r:id="rId812" display="https://www.yelp.com/biz/warehouse-uniform-and-embroidery-doral"/>
    <hyperlink ref="AE250" r:id="rId813" display="https://www.yellowpages.com/doral-fl/mip/warehouse-uniform-embroidery-23004351"/>
    <hyperlink ref="N251" r:id="rId814" display="https://www.yelp.com/biz/the-perfect-fit-miami-beach-2"/>
    <hyperlink ref="AA251" r:id="rId815" display="https://www.facebook.com/161632290522132/"/>
    <hyperlink ref="AD251" r:id="rId816" display="https://www.yelp.com/biz/the-perfect-fit-miami-beach-2"/>
    <hyperlink ref="AE251" r:id="rId817" display="https://www.yellowpages.com/miami-beach-fl/mip/the-perfect-fit-tailoring-530984508"/>
    <hyperlink ref="N252" r:id="rId818" display="https://www.yelp.com/biz/tailor-republic-miami-beach-2"/>
    <hyperlink ref="AB252" r:id="rId819" display="https://www.instagram.com/tailor_republic/"/>
    <hyperlink ref="AD252" r:id="rId820" display="https://www.yelp.com/biz/tailor-republic-miami-beach-2"/>
    <hyperlink ref="AE252" r:id="rId821" display="https://www.chamberofcommerce.com/united-states/florida/miami-beach/tailor/2013081832-tailor-republic"/>
    <hyperlink ref="N253" r:id="rId822" display="https://www.bbb.org/us/fl/hollywood/profile/clothing-alterations/lois-alteration-shop-0633-90072554"/>
    <hyperlink ref="AD253" r:id="rId823" display="https://www.yelp.com/biz/lois-alteration-shop-hollywood"/>
    <hyperlink ref="AE253" r:id="rId824" display="https://www.yellowpages.com/hollywood-fl/mip/lois-alteration-shop-15593165"/>
    <hyperlink ref="N254" r:id="rId825" display="https://www.yelp.com/biz/marcellas-fashion-weston"/>
    <hyperlink ref="AA254" r:id="rId826" display="https://www.facebook.com/Marcellasfashion/"/>
    <hyperlink ref="AD254" r:id="rId827" display="https://www.yelp.com/biz/marcellas-fashion-weston"/>
    <hyperlink ref="AE254" r:id="rId828" display="https://www.yellowpages.com/weston-fl/mip/marcellas-fashion-460620173"/>
    <hyperlink ref="N255" r:id="rId829" display="https://humbertosshoerepair.com/"/>
    <hyperlink ref="AD255" r:id="rId830" display="https://www.yelp.com/biz/humbertos-shoe-luggage-repair-and-tailor-pembroke-pines"/>
    <hyperlink ref="AE255" r:id="rId831" display="https://www.yelp.com/biz/humbertos-shoe-luggage-repair-and-tailor-pembroke-pines"/>
    <hyperlink ref="N256" r:id="rId832" display="https://www.yelp.com/biz/idolls-boutique-miami-gardens"/>
    <hyperlink ref="AD256" r:id="rId833" display="https://www.yelp.com/biz/idolls-boutique-miami-gardens"/>
    <hyperlink ref="AE256" r:id="rId834" display="https://www.yelp.com/biz/idolls-boutique-miami-gardens"/>
    <hyperlink ref="N257" r:id="rId835" display="https://www.alluniformwear.com/doral"/>
    <hyperlink ref="AD257" r:id="rId836" display="https://www.yelp.com/biz/all-uniform-wear-doral-2"/>
    <hyperlink ref="AE257" r:id="rId837" display="https://www.alluniformwear.com/doral"/>
    <hyperlink ref="N258" r:id="rId838" display="https://www.yelp.com/biz/khai-les-alterations-miami-beach"/>
    <hyperlink ref="AD258" r:id="rId839" display="https://www.yelp.com/biz/khai-les-alterations-miami-beach"/>
    <hyperlink ref="AE258" r:id="rId840" display="https://www.yelp.com/biz/khai-les-alterations-miami-beach"/>
    <hyperlink ref="N259" r:id="rId841" display="https://boatplanet.com/pro/shirts-r-us-of-hollywood-inc"/>
    <hyperlink ref="AE259" r:id="rId842" display="https://www.yellowpages.com/davie-fl/mip/shirts-r-us-452238217"/>
    <hyperlink ref="N260" r:id="rId843" display="https://www.yelp.com/biz/music-arts-enterprises-fort-lauderdale-3"/>
    <hyperlink ref="AA260" r:id="rId844" display="https://www.facebook.com/MusicArtsEnterprises/"/>
    <hyperlink ref="AD260" r:id="rId845" display="https://www.yelp.com/biz/music-arts-enterprises-fort-lauderdale-3"/>
    <hyperlink ref="AE260" r:id="rId846" display="https://www.maemusic.com/"/>
    <hyperlink ref="N261" r:id="rId847" display="https://en.wikipedia.org/wiki/Criteria_Studios"/>
    <hyperlink ref="AA261" r:id="rId848" display="https://www.facebook.com/142433409128998/"/>
    <hyperlink ref="AC261" r:id="rId849" display="https://www.linkedin.com/company/criteria-recording-studios"/>
    <hyperlink ref="AD261" r:id="rId850" display="https://www.yelp.com/biz/criteria-recording-studios-miami-3"/>
    <hyperlink ref="AE261" r:id="rId851" display="https://www.criteriastudios.com/contact"/>
    <hyperlink ref="N262" r:id="rId852" display="https://www.42ndstreetstudios.com/"/>
    <hyperlink ref="AA262" r:id="rId853" display="https://www.facebook.com/42ndststudios/"/>
    <hyperlink ref="AD262" r:id="rId854" display="https://www.yelp.com/biz/42nd-street-recording-studios-fort-lauderdale-2"/>
    <hyperlink ref="AE262" r:id="rId855" display="https://www.yelp.com/biz/42nd-street-recording-studios-fort-lauderdale-2"/>
    <hyperlink ref="N263" r:id="rId856" display="https://www.yelp.com/biz/wynwood-studio-miami"/>
    <hyperlink ref="AA263" r:id="rId857" display="https://www.facebook.com/wyn.studios/"/>
    <hyperlink ref="AC263" r:id="rId858" display="https://www.linkedin.com/company/wynwood-studio"/>
    <hyperlink ref="AD263" r:id="rId859" display="https://www.yelp.com/biz/wynwood-studio-miami"/>
    <hyperlink ref="AE263" r:id="rId860" display="https://www.wynwood.studio/"/>
    <hyperlink ref="N264" r:id="rId861" display="https://caplinnews.fiu.edu/guitar-shops-the-guitar-nook-waynes-guitar-world-kendall-conservatory-of-music/"/>
    <hyperlink ref="AA264" r:id="rId862" display="https://www.facebook.com/TheGuitarNook/"/>
    <hyperlink ref="AC264" r:id="rId863" display="https://www.linkedin.com/company/the-guitar-nook-inc."/>
    <hyperlink ref="AD264" r:id="rId864" display="https://www.yelp.com/biz/the-guitar-nook-north-miami-beach"/>
    <hyperlink ref="AE264" r:id="rId865" display="https://www.yelp.com/biz/the-guitar-nook-north-miami-beach"/>
    <hyperlink ref="N265" r:id="rId866" display="https://caplinnews.fiu.edu/guitar-shops-the-guitar-nook-waynes-guitar-world-kendall-conservatory-of-music/"/>
    <hyperlink ref="AA265" r:id="rId867" display="https://www.facebook.com/KendallConservatoryofMusic/"/>
    <hyperlink ref="AD265" r:id="rId868" display="https://www.yelp.com/biz/kendall-conservatory-of-music-inc-miami"/>
    <hyperlink ref="AE265" r:id="rId869" display="https://www.yelp.com/biz/kendall-conservatory-of-music-inc-miami"/>
    <hyperlink ref="N266" r:id="rId870" display="https://www.weddingwire.com/biz/big-beat-productions-coral-springs/c9f1ea40b232cad6.html"/>
    <hyperlink ref="AA266" r:id="rId871" display="https://www.facebook.com/bigbeatproductions/"/>
    <hyperlink ref="AC266" r:id="rId872" display="https://www.linkedin.com/company/big-beat-productions-inc"/>
    <hyperlink ref="AD266" r:id="rId873" display="https://www.yelp.com/biz/big-beat-productions-coral-springs"/>
    <hyperlink ref="AE266" r:id="rId874" display="https://www.weddingwire.com/biz/big-beat-productions-coral-springs/c9f1ea40b232cad6.html"/>
    <hyperlink ref="N267" r:id="rId875" display="https://www.cityofdoral.com/Businesses/Local-Discounts/Diamond-Venue-at-Doral"/>
    <hyperlink ref="AA267" r:id="rId876" display="https://www.facebook.com/diamondvenueatdoral/"/>
    <hyperlink ref="AD267" r:id="rId877" display="https://www.yelp.com/biz/diamond-venue-doral"/>
    <hyperlink ref="AE267" r:id="rId878" display="https://www.yelp.com/biz/diamond-venue-doral"/>
    <hyperlink ref="N268" r:id="rId879" display="https://www.yelp.com/biz/the-temple-house-miami-beach"/>
    <hyperlink ref="AA268" r:id="rId880" display="https://www.facebook.com/TheTempleHouse/"/>
    <hyperlink ref="AD268" r:id="rId881" display="https://www.yelp.com/biz/the-temple-house-miami-beach"/>
    <hyperlink ref="AE268" r:id="rId882" display="https://www.wedding-spot.com/venue/3621/the-temple-house/"/>
    <hyperlink ref="N269" r:id="rId883" display="https://www.yelp.com/biz/ballroom-events-banquet-hall-miami-gardens"/>
    <hyperlink ref="AA269" r:id="rId884" display="https://www.facebook.com/ballroomeventsbanquethall/"/>
    <hyperlink ref="AD269" r:id="rId885" display="https://www.yelp.com/biz/ballroom-events-banquet-hall-miami-gardens"/>
    <hyperlink ref="AE269" r:id="rId886" display="https://ballroomeventsbanquethall.com/"/>
    <hyperlink ref="N270" r:id="rId887" display="https://www.yelp.com/biz/the-endowment-banquet-hall-miami-gardens"/>
    <hyperlink ref="AD270" r:id="rId888" display="https://www.yelp.com/biz/the-endowment-banquet-hall-miami-gardens"/>
    <hyperlink ref="AE270" r:id="rId889" display="https://www.yelp.com/biz/the-endowment-banquet-hall-miami-gardens"/>
    <hyperlink ref="N271" r:id="rId890" display="https://www.fiestapartyrentalmiami.com/"/>
    <hyperlink ref="AD271" r:id="rId891" display="https://www.yelp.com/biz/fiesta-party-rentals-miami-gardens"/>
    <hyperlink ref="AE271" r:id="rId892" display="https://www.yellowpages.com/miami-gardens-fl/mip/fiesta-party-rentals-190357"/>
    <hyperlink ref="N272" r:id="rId893" display="https://www.elegantparties.com/copy-of-about"/>
    <hyperlink ref="AB272" r:id="rId894" display="https://www.instagram.com/elegant_parties/"/>
    <hyperlink ref="AD272" r:id="rId895" display="https://www.yelp.com/biz/elegant-parties-pompano-beach-2"/>
    <hyperlink ref="AE272" r:id="rId896" display="https://www.yelp.com/biz/elegant-parties-pompano-beach-2"/>
    <hyperlink ref="N273" r:id="rId897" display="https://murnorstudio.com/about-us/"/>
    <hyperlink ref="AA273" r:id="rId898" display="https://www.facebook.com/murnorstudio/"/>
    <hyperlink ref="AD273" r:id="rId899" display="https://www.yelp.com/biz/murnor-studio-coral-gables"/>
    <hyperlink ref="AE273" r:id="rId900" display="https://www.superpages.com/coral-gables-fl/bpp/murnor-studio-467203784"/>
    <hyperlink ref="N274" r:id="rId901" display="https://www.yelp.com/biz/delio-photo-studio-miami-2"/>
    <hyperlink ref="AA274" r:id="rId902" display="https://www.facebook.com/deliophotostudio/"/>
    <hyperlink ref="AC274" r:id="rId903" display="https://www.linkedin.com/company/delio-photo-studio"/>
    <hyperlink ref="AD274" r:id="rId904" display="https://www.yelp.com/biz/delio-photo-studio-miami-2"/>
    <hyperlink ref="AE274" r:id="rId905" display="https://www.yelp.com/biz/delio-photo-studio-miami-2"/>
    <hyperlink ref="N275" r:id="rId906" display="https://www.yelp.com/biz/ive-been-framed-miami-4"/>
    <hyperlink ref="AD275" r:id="rId907" display="https://www.yelp.com/biz/ive-been-framed-miami-4"/>
    <hyperlink ref="AE275" r:id="rId908" display="https://www.superpages.com/miami-fl/bpp/ive-been-framed-5292799"/>
    <hyperlink ref="N276" r:id="rId909" display="https://www.frameartofmiami.com/"/>
    <hyperlink ref="AA276" r:id="rId910" display="https://www.facebook.com/frameartofkendall/"/>
    <hyperlink ref="AD276" r:id="rId911" display="https://www.yelp.com/biz/frame-art-miami-4"/>
    <hyperlink ref="AE276" r:id="rId912" display="https://www.yelp.com/biz/frame-art-miami-4"/>
    <hyperlink ref="N277" r:id="rId913" display="https://www.yelp.com/biz/e-and-p-printing-miami"/>
    <hyperlink ref="AD277" r:id="rId914" display="https://www.yelp.com/biz/e-and-p-printing-miami"/>
    <hyperlink ref="AE277" r:id="rId915" display="https://www.yelp.com/biz/e-and-p-printing-miami"/>
    <hyperlink ref="N278" r:id="rId916" display="https://soloprinting.com/who-are-we/"/>
    <hyperlink ref="AC278" r:id="rId917" display="https://www.linkedin.com/company/solo-printing-company"/>
    <hyperlink ref="AD278" r:id="rId918" display="https://www.yelp.com/biz/solo-printing-miami"/>
    <hyperlink ref="AE278" r:id="rId919" display="https://soloprinting.com/contact-soloprinting/"/>
    <hyperlink ref="N279" r:id="rId920" display="https://www.firstsign.com/pg/7-About-Us.aspx"/>
    <hyperlink ref="AA279" r:id="rId921" display="https://www.facebook.com/FirstSignCorp/"/>
    <hyperlink ref="AC279" r:id="rId922" display="https://www.linkedin.com/company/first-sign-corp"/>
    <hyperlink ref="AD279" r:id="rId923" display="https://www.yelp.com/biz/first-sign-pompano-beach"/>
    <hyperlink ref="AE279" r:id="rId924" display="https://www.yelp.com/biz/first-sign-pompano-beach"/>
    <hyperlink ref="N280" r:id="rId925" display="https://www.southfloridasigncompany.com/about/"/>
    <hyperlink ref="AA280" r:id="rId926" display="https://www.facebook.com/southfloridasigncompany/"/>
    <hyperlink ref="AD280" r:id="rId927" display="https://www.yelp.com/biz/south-florida-sign-pompano-beach"/>
    <hyperlink ref="AE280" r:id="rId928" display="https://www.southfloridasigncompany.com/contact"/>
    <hyperlink ref="N281" r:id="rId929" display="https://www.coralgablesflorist.com/contact-us/"/>
    <hyperlink ref="AA281" r:id="rId930" display="https://www.facebook.com/p/Coral-Gables-Florist-100067677827539/"/>
    <hyperlink ref="AD281" r:id="rId931" display="https://www.yelp.com/biz/coral-gables-florist-coral-gables"/>
    <hyperlink ref="AE281" r:id="rId932" display="https://www.coralgablesflorist.com/contact-us/"/>
    <hyperlink ref="N282" r:id="rId933" display="https://www.darbysflorist.com/about_us.php"/>
    <hyperlink ref="AA282" r:id="rId934" display="https://www.facebook.com/DarbysFlorist/"/>
    <hyperlink ref="AD282" r:id="rId935" display="https://www.yelp.com/biz/darbys-florist-coral-springs"/>
    <hyperlink ref="AE282" r:id="rId936" display="https://www.flowershopnetwork.com/floristProfile/158764"/>
    <hyperlink ref="N283" r:id="rId937" display="https://hooraysfromhollywood.com/pages/about-us"/>
    <hyperlink ref="AD283" r:id="rId938" display="https://www.yelp.com/biz/hoorays-from-hollywood-hollywood"/>
    <hyperlink ref="AE283" r:id="rId939" display="https://www.flowershopnetwork.com/floristProfile/282071"/>
    <hyperlink ref="N284" r:id="rId940" display="https://www.joansflorist.net/about-us"/>
    <hyperlink ref="AA284" r:id="rId941" display="https://www.facebook.com/JoansFloristHollywood/"/>
    <hyperlink ref="AD284" r:id="rId942" display="https://www.yelp.com/biz/joans-florist-hollywood"/>
    <hyperlink ref="AE284" r:id="rId943" display="https://www.superpages.com/hollywood-fl/bpp/joans-florist-18524615"/>
    <hyperlink ref="N285" r:id="rId944" display="https://www.tattoosbylou.com/post/2015/05/01/shop-history-tattoos-by-lou-south-beach"/>
    <hyperlink ref="AB285" r:id="rId945" display="https://www.instagram.com/tattoosbyloumiami/"/>
    <hyperlink ref="AD285" r:id="rId946" display="https://www.yelp.com/biz/tattoos-by-lou-north-miami-miami-2"/>
    <hyperlink ref="AE285" r:id="rId947" display="https://www.yelp.com/biz/tattoos-by-lou-north-miami-miami-2"/>
    <hyperlink ref="N286" r:id="rId948" display="https://ochoplacastattoo.com/"/>
    <hyperlink ref="AA286" r:id="rId949" display="https://www.facebook.com/ochoplacas/"/>
    <hyperlink ref="AD286" r:id="rId950" display="https://www.yelp.com/biz/ocho-placas-tattoos-miami"/>
    <hyperlink ref="AE286" r:id="rId951" display="https://www.yelp.com/biz/ocho-placas-tattoos-miami"/>
    <hyperlink ref="N287" r:id="rId952" display="https://search.sunbiz.org/Inquiry/CorporationSearch/ByName"/>
    <hyperlink ref="AE287" r:id="rId953" display="https://stores-goods.com/Florida/Miami/Little_Havana_Tattoo_Studio"/>
    <hyperlink ref="N288" r:id="rId954" display="https://www.yelp.com/biz/the-tattoo-gallery-fort-lauderdale"/>
    <hyperlink ref="AA288" r:id="rId955" display="https://www.facebook.com/TattooGalleryFTL/"/>
    <hyperlink ref="AD288" r:id="rId956" display="https://www.yelp.com/biz/the-tattoo-gallery-fort-lauderdale"/>
    <hyperlink ref="AE288" r:id="rId957" display="https://local.yahoo.com/info-14348099-the-tattoo-gallery-fort-lauderdale/"/>
    <hyperlink ref="N289" r:id="rId958" display="https://www.stefanostattoofl.com/"/>
    <hyperlink ref="AA289" r:id="rId959" display="https://www.facebook.com/StefanosTattooStudioFL/"/>
    <hyperlink ref="AB289" r:id="rId960" display="https://www.instagram.com/stefanostattoofl/"/>
    <hyperlink ref="AD289" r:id="rId961" display="https://www.yelp.com/biz/stefanos-tattoo-studio-fort-lauderdale"/>
    <hyperlink ref="AE289" r:id="rId962" display="https://www.stefanostattoofl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6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2793</v>
      </c>
    </row>
    <row r="2" customFormat="false" ht="12.8" hidden="false" customHeight="false" outlineLevel="0" collapsed="false">
      <c r="A2" s="19" t="s">
        <v>2794</v>
      </c>
    </row>
    <row r="4" customFormat="false" ht="12.8" hidden="false" customHeight="false" outlineLevel="0" collapsed="false">
      <c r="A4" s="20" t="s">
        <v>2795</v>
      </c>
    </row>
    <row r="6" customFormat="false" ht="12.8" hidden="false" customHeight="false" outlineLevel="0" collapsed="false">
      <c r="A6" s="21" t="s">
        <v>2796</v>
      </c>
      <c r="B6" s="22"/>
      <c r="C6" s="23" t="s">
        <v>41</v>
      </c>
      <c r="D6" s="24"/>
      <c r="E6" s="24"/>
      <c r="F6" s="24"/>
      <c r="G6" s="24"/>
      <c r="H6" s="25"/>
    </row>
    <row r="7" customFormat="false" ht="12.8" hidden="false" customHeight="false" outlineLevel="0" collapsed="false">
      <c r="A7" s="26" t="s">
        <v>36</v>
      </c>
      <c r="B7" s="27" t="s">
        <v>34</v>
      </c>
      <c r="C7" s="28" t="s">
        <v>210</v>
      </c>
      <c r="D7" s="29" t="s">
        <v>235</v>
      </c>
      <c r="E7" s="29" t="s">
        <v>8</v>
      </c>
      <c r="F7" s="29" t="s">
        <v>148</v>
      </c>
      <c r="G7" s="29" t="s">
        <v>199</v>
      </c>
      <c r="H7" s="30" t="s">
        <v>2797</v>
      </c>
    </row>
    <row r="8" customFormat="false" ht="12.8" hidden="false" customHeight="false" outlineLevel="0" collapsed="false">
      <c r="A8" s="31" t="s">
        <v>9</v>
      </c>
      <c r="B8" s="32" t="s">
        <v>2326</v>
      </c>
      <c r="C8" s="33"/>
      <c r="D8" s="34"/>
      <c r="E8" s="34" t="n">
        <v>1</v>
      </c>
      <c r="F8" s="34" t="n">
        <v>1</v>
      </c>
      <c r="G8" s="35" t="n">
        <v>2</v>
      </c>
      <c r="H8" s="36" t="n">
        <v>4</v>
      </c>
    </row>
    <row r="9" customFormat="false" ht="12.8" hidden="false" customHeight="false" outlineLevel="0" collapsed="false">
      <c r="A9" s="37"/>
      <c r="B9" s="38" t="s">
        <v>1562</v>
      </c>
      <c r="C9" s="39"/>
      <c r="D9" s="40"/>
      <c r="E9" s="40"/>
      <c r="F9" s="40"/>
      <c r="G9" s="41" t="n">
        <v>1</v>
      </c>
      <c r="H9" s="42" t="n">
        <v>1</v>
      </c>
    </row>
    <row r="10" customFormat="false" ht="12.8" hidden="false" customHeight="false" outlineLevel="0" collapsed="false">
      <c r="A10" s="37"/>
      <c r="B10" s="38" t="s">
        <v>733</v>
      </c>
      <c r="C10" s="39" t="n">
        <v>1</v>
      </c>
      <c r="D10" s="40" t="n">
        <v>1</v>
      </c>
      <c r="E10" s="40" t="n">
        <v>2</v>
      </c>
      <c r="F10" s="40"/>
      <c r="G10" s="41" t="n">
        <v>2</v>
      </c>
      <c r="H10" s="42" t="n">
        <v>6</v>
      </c>
    </row>
    <row r="11" customFormat="false" ht="12.8" hidden="false" customHeight="false" outlineLevel="0" collapsed="false">
      <c r="A11" s="37"/>
      <c r="B11" s="38" t="s">
        <v>670</v>
      </c>
      <c r="C11" s="39"/>
      <c r="D11" s="40" t="n">
        <v>3</v>
      </c>
      <c r="E11" s="40" t="n">
        <v>9</v>
      </c>
      <c r="F11" s="40" t="n">
        <v>3</v>
      </c>
      <c r="G11" s="41" t="n">
        <v>8</v>
      </c>
      <c r="H11" s="42" t="n">
        <v>23</v>
      </c>
    </row>
    <row r="12" customFormat="false" ht="12.8" hidden="false" customHeight="false" outlineLevel="0" collapsed="false">
      <c r="A12" s="37"/>
      <c r="B12" s="38" t="s">
        <v>1025</v>
      </c>
      <c r="C12" s="39"/>
      <c r="D12" s="40" t="n">
        <v>4</v>
      </c>
      <c r="E12" s="40" t="n">
        <v>3</v>
      </c>
      <c r="F12" s="40" t="n">
        <v>3</v>
      </c>
      <c r="G12" s="41" t="n">
        <v>4</v>
      </c>
      <c r="H12" s="42" t="n">
        <v>14</v>
      </c>
    </row>
    <row r="13" customFormat="false" ht="12.8" hidden="false" customHeight="false" outlineLevel="0" collapsed="false">
      <c r="A13" s="37"/>
      <c r="B13" s="38" t="s">
        <v>1942</v>
      </c>
      <c r="C13" s="39" t="n">
        <v>1</v>
      </c>
      <c r="D13" s="40"/>
      <c r="E13" s="40"/>
      <c r="F13" s="40"/>
      <c r="G13" s="41"/>
      <c r="H13" s="42" t="n">
        <v>1</v>
      </c>
    </row>
    <row r="14" customFormat="false" ht="12.8" hidden="false" customHeight="false" outlineLevel="0" collapsed="false">
      <c r="A14" s="37"/>
      <c r="B14" s="38" t="s">
        <v>876</v>
      </c>
      <c r="C14" s="39" t="n">
        <v>2</v>
      </c>
      <c r="D14" s="40"/>
      <c r="E14" s="40" t="n">
        <v>1</v>
      </c>
      <c r="F14" s="40"/>
      <c r="G14" s="41" t="n">
        <v>2</v>
      </c>
      <c r="H14" s="42" t="n">
        <v>5</v>
      </c>
    </row>
    <row r="15" customFormat="false" ht="12.8" hidden="false" customHeight="false" outlineLevel="0" collapsed="false">
      <c r="A15" s="37"/>
      <c r="B15" s="38" t="s">
        <v>1827</v>
      </c>
      <c r="C15" s="39" t="n">
        <v>1</v>
      </c>
      <c r="D15" s="40"/>
      <c r="E15" s="40" t="n">
        <v>2</v>
      </c>
      <c r="F15" s="40"/>
      <c r="G15" s="41" t="n">
        <v>2</v>
      </c>
      <c r="H15" s="42" t="n">
        <v>5</v>
      </c>
    </row>
    <row r="16" customFormat="false" ht="12.8" hidden="false" customHeight="false" outlineLevel="0" collapsed="false">
      <c r="A16" s="37"/>
      <c r="B16" s="38" t="s">
        <v>1155</v>
      </c>
      <c r="C16" s="39"/>
      <c r="D16" s="40" t="n">
        <v>2</v>
      </c>
      <c r="E16" s="40" t="n">
        <v>1</v>
      </c>
      <c r="F16" s="40"/>
      <c r="G16" s="41"/>
      <c r="H16" s="42" t="n">
        <v>3</v>
      </c>
    </row>
    <row r="17" customFormat="false" ht="12.8" hidden="false" customHeight="false" outlineLevel="0" collapsed="false">
      <c r="A17" s="37"/>
      <c r="B17" s="38" t="s">
        <v>714</v>
      </c>
      <c r="C17" s="39"/>
      <c r="D17" s="40" t="n">
        <v>1</v>
      </c>
      <c r="E17" s="40" t="n">
        <v>3</v>
      </c>
      <c r="F17" s="40" t="n">
        <v>4</v>
      </c>
      <c r="G17" s="41" t="n">
        <v>6</v>
      </c>
      <c r="H17" s="42" t="n">
        <v>14</v>
      </c>
    </row>
    <row r="18" customFormat="false" ht="12.8" hidden="false" customHeight="false" outlineLevel="0" collapsed="false">
      <c r="A18" s="37"/>
      <c r="B18" s="38" t="s">
        <v>906</v>
      </c>
      <c r="C18" s="39"/>
      <c r="D18" s="40"/>
      <c r="E18" s="40" t="n">
        <v>2</v>
      </c>
      <c r="F18" s="40"/>
      <c r="G18" s="41" t="n">
        <v>3</v>
      </c>
      <c r="H18" s="42" t="n">
        <v>5</v>
      </c>
    </row>
    <row r="19" customFormat="false" ht="12.8" hidden="false" customHeight="false" outlineLevel="0" collapsed="false">
      <c r="A19" s="37"/>
      <c r="B19" s="38" t="s">
        <v>1930</v>
      </c>
      <c r="C19" s="39"/>
      <c r="D19" s="40"/>
      <c r="E19" s="40"/>
      <c r="F19" s="40"/>
      <c r="G19" s="41" t="n">
        <v>1</v>
      </c>
      <c r="H19" s="42" t="n">
        <v>1</v>
      </c>
    </row>
    <row r="20" customFormat="false" ht="12.8" hidden="false" customHeight="false" outlineLevel="0" collapsed="false">
      <c r="A20" s="43"/>
      <c r="B20" s="44" t="s">
        <v>2376</v>
      </c>
      <c r="C20" s="45"/>
      <c r="D20" s="46" t="n">
        <v>1</v>
      </c>
      <c r="E20" s="46" t="n">
        <v>1</v>
      </c>
      <c r="F20" s="46"/>
      <c r="G20" s="47"/>
      <c r="H20" s="48" t="n">
        <v>2</v>
      </c>
    </row>
    <row r="21" customFormat="false" ht="12.8" hidden="false" customHeight="false" outlineLevel="0" collapsed="false">
      <c r="A21" s="31" t="s">
        <v>6</v>
      </c>
      <c r="B21" s="32" t="s">
        <v>1113</v>
      </c>
      <c r="C21" s="34"/>
      <c r="D21" s="34" t="n">
        <v>1</v>
      </c>
      <c r="E21" s="34"/>
      <c r="F21" s="34"/>
      <c r="G21" s="34" t="n">
        <v>3</v>
      </c>
      <c r="H21" s="36" t="n">
        <v>4</v>
      </c>
    </row>
    <row r="22" customFormat="false" ht="12.8" hidden="false" customHeight="false" outlineLevel="0" collapsed="false">
      <c r="A22" s="37"/>
      <c r="B22" s="38" t="s">
        <v>1052</v>
      </c>
      <c r="C22" s="40" t="n">
        <v>1</v>
      </c>
      <c r="D22" s="40" t="n">
        <v>4</v>
      </c>
      <c r="E22" s="40" t="n">
        <v>1</v>
      </c>
      <c r="F22" s="40" t="n">
        <v>1</v>
      </c>
      <c r="G22" s="40" t="n">
        <v>5</v>
      </c>
      <c r="H22" s="42" t="n">
        <v>12</v>
      </c>
    </row>
    <row r="23" customFormat="false" ht="12.8" hidden="false" customHeight="false" outlineLevel="0" collapsed="false">
      <c r="A23" s="37"/>
      <c r="B23" s="38" t="s">
        <v>420</v>
      </c>
      <c r="C23" s="40"/>
      <c r="D23" s="40" t="n">
        <v>7</v>
      </c>
      <c r="E23" s="40" t="n">
        <v>2</v>
      </c>
      <c r="F23" s="40" t="n">
        <v>1</v>
      </c>
      <c r="G23" s="40" t="n">
        <v>9</v>
      </c>
      <c r="H23" s="42" t="n">
        <v>19</v>
      </c>
    </row>
    <row r="24" customFormat="false" ht="12.8" hidden="false" customHeight="false" outlineLevel="0" collapsed="false">
      <c r="A24" s="37"/>
      <c r="B24" s="38" t="s">
        <v>68</v>
      </c>
      <c r="C24" s="40" t="n">
        <v>5</v>
      </c>
      <c r="D24" s="40" t="n">
        <v>9</v>
      </c>
      <c r="E24" s="40" t="n">
        <v>23</v>
      </c>
      <c r="F24" s="40" t="n">
        <v>3</v>
      </c>
      <c r="G24" s="40" t="n">
        <v>8</v>
      </c>
      <c r="H24" s="42" t="n">
        <v>48</v>
      </c>
    </row>
    <row r="25" customFormat="false" ht="12.8" hidden="false" customHeight="false" outlineLevel="0" collapsed="false">
      <c r="A25" s="37"/>
      <c r="B25" s="38" t="s">
        <v>157</v>
      </c>
      <c r="C25" s="40"/>
      <c r="D25" s="40"/>
      <c r="E25" s="40" t="n">
        <v>1</v>
      </c>
      <c r="F25" s="40" t="n">
        <v>1</v>
      </c>
      <c r="G25" s="40"/>
      <c r="H25" s="42" t="n">
        <v>2</v>
      </c>
    </row>
    <row r="26" customFormat="false" ht="12.8" hidden="false" customHeight="false" outlineLevel="0" collapsed="false">
      <c r="A26" s="37"/>
      <c r="B26" s="38" t="s">
        <v>123</v>
      </c>
      <c r="C26" s="40" t="n">
        <v>2</v>
      </c>
      <c r="D26" s="40"/>
      <c r="E26" s="40" t="n">
        <v>5</v>
      </c>
      <c r="F26" s="40"/>
      <c r="G26" s="40" t="n">
        <v>5</v>
      </c>
      <c r="H26" s="42" t="n">
        <v>12</v>
      </c>
    </row>
    <row r="27" customFormat="false" ht="12.8" hidden="false" customHeight="false" outlineLevel="0" collapsed="false">
      <c r="A27" s="37"/>
      <c r="B27" s="38" t="s">
        <v>563</v>
      </c>
      <c r="C27" s="40"/>
      <c r="D27" s="40" t="n">
        <v>3</v>
      </c>
      <c r="E27" s="40" t="n">
        <v>6</v>
      </c>
      <c r="F27" s="40" t="n">
        <v>1</v>
      </c>
      <c r="G27" s="40" t="n">
        <v>5</v>
      </c>
      <c r="H27" s="42" t="n">
        <v>15</v>
      </c>
    </row>
    <row r="28" customFormat="false" ht="12.8" hidden="false" customHeight="false" outlineLevel="0" collapsed="false">
      <c r="A28" s="37"/>
      <c r="B28" s="38" t="s">
        <v>86</v>
      </c>
      <c r="C28" s="40"/>
      <c r="D28" s="40" t="n">
        <v>1</v>
      </c>
      <c r="E28" s="40" t="n">
        <v>3</v>
      </c>
      <c r="F28" s="40" t="n">
        <v>4</v>
      </c>
      <c r="G28" s="40" t="n">
        <v>9</v>
      </c>
      <c r="H28" s="42" t="n">
        <v>17</v>
      </c>
    </row>
    <row r="29" customFormat="false" ht="12.8" hidden="false" customHeight="false" outlineLevel="0" collapsed="false">
      <c r="A29" s="37"/>
      <c r="B29" s="38" t="s">
        <v>494</v>
      </c>
      <c r="C29" s="40" t="n">
        <v>2</v>
      </c>
      <c r="D29" s="40" t="n">
        <v>7</v>
      </c>
      <c r="E29" s="40" t="n">
        <v>5</v>
      </c>
      <c r="F29" s="40" t="n">
        <v>4</v>
      </c>
      <c r="G29" s="40" t="n">
        <v>18</v>
      </c>
      <c r="H29" s="42" t="n">
        <v>36</v>
      </c>
    </row>
    <row r="30" customFormat="false" ht="12.8" hidden="false" customHeight="false" outlineLevel="0" collapsed="false">
      <c r="A30" s="37"/>
      <c r="B30" s="38" t="s">
        <v>658</v>
      </c>
      <c r="C30" s="40" t="n">
        <v>1</v>
      </c>
      <c r="D30" s="40" t="n">
        <v>6</v>
      </c>
      <c r="E30" s="40" t="n">
        <v>3</v>
      </c>
      <c r="F30" s="40" t="n">
        <v>1</v>
      </c>
      <c r="G30" s="40" t="n">
        <v>3</v>
      </c>
      <c r="H30" s="42" t="n">
        <v>14</v>
      </c>
    </row>
    <row r="31" customFormat="false" ht="12.8" hidden="false" customHeight="false" outlineLevel="0" collapsed="false">
      <c r="A31" s="37"/>
      <c r="B31" s="38" t="s">
        <v>1876</v>
      </c>
      <c r="C31" s="40" t="n">
        <v>1</v>
      </c>
      <c r="D31" s="40" t="n">
        <v>3</v>
      </c>
      <c r="E31" s="40" t="n">
        <v>1</v>
      </c>
      <c r="F31" s="40"/>
      <c r="G31" s="40" t="n">
        <v>1</v>
      </c>
      <c r="H31" s="42" t="n">
        <v>6</v>
      </c>
    </row>
    <row r="32" customFormat="false" ht="12.8" hidden="false" customHeight="false" outlineLevel="0" collapsed="false">
      <c r="A32" s="37"/>
      <c r="B32" s="38" t="s">
        <v>993</v>
      </c>
      <c r="C32" s="40"/>
      <c r="D32" s="40"/>
      <c r="E32" s="40"/>
      <c r="F32" s="40"/>
      <c r="G32" s="40" t="n">
        <v>1</v>
      </c>
      <c r="H32" s="42" t="n">
        <v>1</v>
      </c>
    </row>
    <row r="33" customFormat="false" ht="12.8" hidden="false" customHeight="false" outlineLevel="0" collapsed="false">
      <c r="A33" s="37"/>
      <c r="B33" s="38" t="s">
        <v>955</v>
      </c>
      <c r="C33" s="40" t="n">
        <v>1</v>
      </c>
      <c r="D33" s="40" t="n">
        <v>1</v>
      </c>
      <c r="E33" s="40" t="n">
        <v>3</v>
      </c>
      <c r="F33" s="40"/>
      <c r="G33" s="40" t="n">
        <v>3</v>
      </c>
      <c r="H33" s="42" t="n">
        <v>8</v>
      </c>
    </row>
    <row r="34" customFormat="false" ht="12.8" hidden="false" customHeight="false" outlineLevel="0" collapsed="false">
      <c r="A34" s="37"/>
      <c r="B34" s="38" t="s">
        <v>984</v>
      </c>
      <c r="C34" s="40"/>
      <c r="D34" s="40" t="n">
        <v>2</v>
      </c>
      <c r="E34" s="40" t="n">
        <v>1</v>
      </c>
      <c r="F34" s="40"/>
      <c r="G34" s="40" t="n">
        <v>1</v>
      </c>
      <c r="H34" s="42" t="n">
        <v>4</v>
      </c>
    </row>
    <row r="35" customFormat="false" ht="12.8" hidden="false" customHeight="false" outlineLevel="0" collapsed="false">
      <c r="A35" s="37"/>
      <c r="B35" s="38" t="s">
        <v>1887</v>
      </c>
      <c r="C35" s="40"/>
      <c r="D35" s="40"/>
      <c r="E35" s="40"/>
      <c r="F35" s="40"/>
      <c r="G35" s="40" t="n">
        <v>1</v>
      </c>
      <c r="H35" s="42" t="n">
        <v>1</v>
      </c>
    </row>
    <row r="36" customFormat="false" ht="12.8" hidden="false" customHeight="false" outlineLevel="0" collapsed="false">
      <c r="A36" s="43"/>
      <c r="B36" s="44" t="s">
        <v>2365</v>
      </c>
      <c r="C36" s="46"/>
      <c r="D36" s="46"/>
      <c r="E36" s="46"/>
      <c r="F36" s="46"/>
      <c r="G36" s="46" t="n">
        <v>2</v>
      </c>
      <c r="H36" s="48" t="n">
        <v>2</v>
      </c>
    </row>
    <row r="37" customFormat="false" ht="12.8" hidden="false" customHeight="false" outlineLevel="0" collapsed="false">
      <c r="A37" s="49" t="s">
        <v>2797</v>
      </c>
      <c r="B37" s="50"/>
      <c r="C37" s="51" t="n">
        <v>18</v>
      </c>
      <c r="D37" s="52" t="n">
        <v>56</v>
      </c>
      <c r="E37" s="52" t="n">
        <v>79</v>
      </c>
      <c r="F37" s="52" t="n">
        <v>27</v>
      </c>
      <c r="G37" s="53" t="n">
        <v>105</v>
      </c>
      <c r="H37" s="54" t="n">
        <v>285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2798</v>
      </c>
    </row>
    <row r="2" customFormat="false" ht="12.8" hidden="false" customHeight="false" outlineLevel="0" collapsed="false">
      <c r="A2" s="19" t="s">
        <v>2794</v>
      </c>
    </row>
    <row r="4" customFormat="false" ht="12.8" hidden="false" customHeight="false" outlineLevel="0" collapsed="false">
      <c r="A4" s="20" t="s">
        <v>2795</v>
      </c>
    </row>
    <row r="5" customFormat="false" ht="12.8" hidden="false" customHeight="false" outlineLevel="0" collapsed="false">
      <c r="A5" s="55" t="s">
        <v>36</v>
      </c>
      <c r="B5" s="56" t="s">
        <v>2799</v>
      </c>
    </row>
    <row r="7" customFormat="false" ht="12.8" hidden="false" customHeight="false" outlineLevel="0" collapsed="false">
      <c r="A7" s="57" t="s">
        <v>2796</v>
      </c>
      <c r="B7" s="23" t="s">
        <v>41</v>
      </c>
      <c r="C7" s="24"/>
      <c r="D7" s="24"/>
      <c r="E7" s="24"/>
      <c r="F7" s="24"/>
      <c r="G7" s="25"/>
    </row>
    <row r="8" customFormat="false" ht="12.8" hidden="false" customHeight="false" outlineLevel="0" collapsed="false">
      <c r="A8" s="26" t="s">
        <v>39</v>
      </c>
      <c r="B8" s="28" t="s">
        <v>210</v>
      </c>
      <c r="C8" s="29" t="s">
        <v>235</v>
      </c>
      <c r="D8" s="29" t="s">
        <v>8</v>
      </c>
      <c r="E8" s="29" t="s">
        <v>148</v>
      </c>
      <c r="F8" s="29" t="s">
        <v>199</v>
      </c>
      <c r="G8" s="30" t="s">
        <v>2797</v>
      </c>
    </row>
    <row r="9" customFormat="false" ht="12.8" hidden="false" customHeight="false" outlineLevel="0" collapsed="false">
      <c r="A9" s="31" t="s">
        <v>607</v>
      </c>
      <c r="B9" s="33"/>
      <c r="C9" s="34"/>
      <c r="D9" s="34" t="n">
        <v>2</v>
      </c>
      <c r="E9" s="34"/>
      <c r="F9" s="35" t="n">
        <v>4</v>
      </c>
      <c r="G9" s="36" t="n">
        <v>6</v>
      </c>
    </row>
    <row r="10" customFormat="false" ht="12.8" hidden="false" customHeight="false" outlineLevel="0" collapsed="false">
      <c r="A10" s="37" t="s">
        <v>126</v>
      </c>
      <c r="B10" s="39" t="n">
        <v>1</v>
      </c>
      <c r="C10" s="40"/>
      <c r="D10" s="40" t="n">
        <v>6</v>
      </c>
      <c r="E10" s="40" t="n">
        <v>2</v>
      </c>
      <c r="F10" s="41" t="n">
        <v>8</v>
      </c>
      <c r="G10" s="42" t="n">
        <v>17</v>
      </c>
    </row>
    <row r="11" customFormat="false" ht="12.8" hidden="false" customHeight="false" outlineLevel="0" collapsed="false">
      <c r="A11" s="37" t="s">
        <v>71</v>
      </c>
      <c r="B11" s="39" t="n">
        <v>1</v>
      </c>
      <c r="C11" s="40" t="n">
        <v>2</v>
      </c>
      <c r="D11" s="40" t="n">
        <v>3</v>
      </c>
      <c r="E11" s="40" t="n">
        <v>2</v>
      </c>
      <c r="F11" s="41" t="n">
        <v>9</v>
      </c>
      <c r="G11" s="42" t="n">
        <v>17</v>
      </c>
    </row>
    <row r="12" customFormat="false" ht="12.8" hidden="false" customHeight="false" outlineLevel="0" collapsed="false">
      <c r="A12" s="37" t="s">
        <v>114</v>
      </c>
      <c r="B12" s="39" t="n">
        <v>1</v>
      </c>
      <c r="C12" s="40" t="n">
        <v>1</v>
      </c>
      <c r="D12" s="40" t="n">
        <v>2</v>
      </c>
      <c r="E12" s="40" t="n">
        <v>1</v>
      </c>
      <c r="F12" s="41" t="n">
        <v>11</v>
      </c>
      <c r="G12" s="42" t="n">
        <v>16</v>
      </c>
    </row>
    <row r="13" customFormat="false" ht="12.8" hidden="false" customHeight="false" outlineLevel="0" collapsed="false">
      <c r="A13" s="37" t="s">
        <v>1629</v>
      </c>
      <c r="B13" s="39" t="n">
        <v>3</v>
      </c>
      <c r="C13" s="40" t="n">
        <v>16</v>
      </c>
      <c r="D13" s="40" t="n">
        <v>9</v>
      </c>
      <c r="E13" s="40" t="n">
        <v>8</v>
      </c>
      <c r="F13" s="41" t="n">
        <v>22</v>
      </c>
      <c r="G13" s="42" t="n">
        <v>58</v>
      </c>
    </row>
    <row r="14" customFormat="false" ht="12.8" hidden="false" customHeight="false" outlineLevel="0" collapsed="false">
      <c r="A14" s="37" t="s">
        <v>137</v>
      </c>
      <c r="B14" s="39" t="n">
        <v>2</v>
      </c>
      <c r="C14" s="40"/>
      <c r="D14" s="40" t="n">
        <v>2</v>
      </c>
      <c r="E14" s="40" t="n">
        <v>2</v>
      </c>
      <c r="F14" s="41" t="n">
        <v>7</v>
      </c>
      <c r="G14" s="42" t="n">
        <v>13</v>
      </c>
    </row>
    <row r="15" customFormat="false" ht="12.8" hidden="false" customHeight="false" outlineLevel="0" collapsed="false">
      <c r="A15" s="37" t="s">
        <v>2500</v>
      </c>
      <c r="B15" s="39"/>
      <c r="C15" s="40" t="n">
        <v>1</v>
      </c>
      <c r="D15" s="40"/>
      <c r="E15" s="40"/>
      <c r="F15" s="41" t="n">
        <v>1</v>
      </c>
      <c r="G15" s="42" t="n">
        <v>2</v>
      </c>
    </row>
    <row r="16" customFormat="false" ht="12.8" hidden="false" customHeight="false" outlineLevel="0" collapsed="false">
      <c r="A16" s="37" t="s">
        <v>1201</v>
      </c>
      <c r="B16" s="39"/>
      <c r="C16" s="40" t="n">
        <v>7</v>
      </c>
      <c r="D16" s="40" t="n">
        <v>4</v>
      </c>
      <c r="E16" s="40"/>
      <c r="F16" s="41"/>
      <c r="G16" s="42" t="n">
        <v>11</v>
      </c>
    </row>
    <row r="17" customFormat="false" ht="12.8" hidden="false" customHeight="false" outlineLevel="0" collapsed="false">
      <c r="A17" s="37" t="s">
        <v>909</v>
      </c>
      <c r="B17" s="39"/>
      <c r="C17" s="40"/>
      <c r="D17" s="40" t="n">
        <v>2</v>
      </c>
      <c r="E17" s="40"/>
      <c r="F17" s="41" t="n">
        <v>3</v>
      </c>
      <c r="G17" s="42" t="n">
        <v>5</v>
      </c>
    </row>
    <row r="18" customFormat="false" ht="12.8" hidden="false" customHeight="false" outlineLevel="0" collapsed="false">
      <c r="A18" s="37" t="s">
        <v>1005</v>
      </c>
      <c r="B18" s="39" t="n">
        <v>1</v>
      </c>
      <c r="C18" s="40" t="n">
        <v>4</v>
      </c>
      <c r="D18" s="40" t="n">
        <v>1</v>
      </c>
      <c r="E18" s="40" t="n">
        <v>2</v>
      </c>
      <c r="F18" s="41" t="n">
        <v>4</v>
      </c>
      <c r="G18" s="42" t="n">
        <v>12</v>
      </c>
    </row>
    <row r="19" customFormat="false" ht="12.8" hidden="false" customHeight="false" outlineLevel="0" collapsed="false">
      <c r="A19" s="37" t="s">
        <v>1737</v>
      </c>
      <c r="B19" s="39" t="n">
        <v>1</v>
      </c>
      <c r="C19" s="40" t="n">
        <v>2</v>
      </c>
      <c r="D19" s="40" t="n">
        <v>5</v>
      </c>
      <c r="E19" s="40"/>
      <c r="F19" s="41" t="n">
        <v>2</v>
      </c>
      <c r="G19" s="42" t="n">
        <v>10</v>
      </c>
    </row>
    <row r="20" customFormat="false" ht="12.8" hidden="false" customHeight="false" outlineLevel="0" collapsed="false">
      <c r="A20" s="37" t="s">
        <v>1791</v>
      </c>
      <c r="B20" s="39" t="n">
        <v>3</v>
      </c>
      <c r="C20" s="40"/>
      <c r="D20" s="40" t="n">
        <v>3</v>
      </c>
      <c r="E20" s="40" t="n">
        <v>1</v>
      </c>
      <c r="F20" s="41" t="n">
        <v>3</v>
      </c>
      <c r="G20" s="42" t="n">
        <v>10</v>
      </c>
    </row>
    <row r="21" customFormat="false" ht="12.8" hidden="false" customHeight="false" outlineLevel="0" collapsed="false">
      <c r="A21" s="37" t="s">
        <v>475</v>
      </c>
      <c r="B21" s="39"/>
      <c r="C21" s="40" t="n">
        <v>4</v>
      </c>
      <c r="D21" s="40" t="n">
        <v>6</v>
      </c>
      <c r="E21" s="40" t="n">
        <v>1</v>
      </c>
      <c r="F21" s="41" t="n">
        <v>4</v>
      </c>
      <c r="G21" s="42" t="n">
        <v>15</v>
      </c>
    </row>
    <row r="22" customFormat="false" ht="12.8" hidden="false" customHeight="false" outlineLevel="0" collapsed="false">
      <c r="A22" s="37" t="s">
        <v>1345</v>
      </c>
      <c r="B22" s="39"/>
      <c r="C22" s="40" t="n">
        <v>3</v>
      </c>
      <c r="D22" s="40" t="n">
        <v>4</v>
      </c>
      <c r="E22" s="40"/>
      <c r="F22" s="41" t="n">
        <v>5</v>
      </c>
      <c r="G22" s="42" t="n">
        <v>12</v>
      </c>
    </row>
    <row r="23" customFormat="false" ht="12.8" hidden="false" customHeight="false" outlineLevel="0" collapsed="false">
      <c r="A23" s="37" t="s">
        <v>539</v>
      </c>
      <c r="B23" s="39" t="n">
        <v>1</v>
      </c>
      <c r="C23" s="40" t="n">
        <v>3</v>
      </c>
      <c r="D23" s="40" t="n">
        <v>6</v>
      </c>
      <c r="E23" s="40" t="n">
        <v>2</v>
      </c>
      <c r="F23" s="41" t="n">
        <v>7</v>
      </c>
      <c r="G23" s="42" t="n">
        <v>19</v>
      </c>
    </row>
    <row r="24" customFormat="false" ht="12.8" hidden="false" customHeight="false" outlineLevel="0" collapsed="false">
      <c r="A24" s="37" t="s">
        <v>225</v>
      </c>
      <c r="B24" s="45" t="n">
        <v>4</v>
      </c>
      <c r="C24" s="46" t="n">
        <v>13</v>
      </c>
      <c r="D24" s="46" t="n">
        <v>24</v>
      </c>
      <c r="E24" s="46" t="n">
        <v>6</v>
      </c>
      <c r="F24" s="47" t="n">
        <v>15</v>
      </c>
      <c r="G24" s="48" t="n">
        <v>62</v>
      </c>
    </row>
    <row r="25" customFormat="false" ht="12.8" hidden="false" customHeight="false" outlineLevel="0" collapsed="false">
      <c r="A25" s="58" t="s">
        <v>2797</v>
      </c>
      <c r="B25" s="51" t="n">
        <v>18</v>
      </c>
      <c r="C25" s="52" t="n">
        <v>56</v>
      </c>
      <c r="D25" s="52" t="n">
        <v>79</v>
      </c>
      <c r="E25" s="52" t="n">
        <v>27</v>
      </c>
      <c r="F25" s="53" t="n">
        <v>105</v>
      </c>
      <c r="G25" s="54" t="n">
        <v>285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2800</v>
      </c>
    </row>
    <row r="2" customFormat="false" ht="12.8" hidden="false" customHeight="false" outlineLevel="0" collapsed="false">
      <c r="A2" s="19" t="s">
        <v>2794</v>
      </c>
    </row>
    <row r="4" customFormat="false" ht="12.8" hidden="false" customHeight="false" outlineLevel="0" collapsed="false">
      <c r="A4" s="20" t="s">
        <v>2795</v>
      </c>
    </row>
    <row r="5" customFormat="false" ht="12.8" hidden="false" customHeight="false" outlineLevel="0" collapsed="false">
      <c r="A5" s="55" t="s">
        <v>36</v>
      </c>
      <c r="B5" s="56" t="s">
        <v>2799</v>
      </c>
    </row>
    <row r="7" customFormat="false" ht="12.8" hidden="false" customHeight="false" outlineLevel="0" collapsed="false">
      <c r="A7" s="57" t="s">
        <v>2796</v>
      </c>
      <c r="B7" s="23" t="s">
        <v>41</v>
      </c>
      <c r="C7" s="24"/>
      <c r="D7" s="24"/>
      <c r="E7" s="24"/>
      <c r="F7" s="24"/>
      <c r="G7" s="25"/>
    </row>
    <row r="8" customFormat="false" ht="12.8" hidden="false" customHeight="false" outlineLevel="0" collapsed="false">
      <c r="A8" s="26" t="s">
        <v>65</v>
      </c>
      <c r="B8" s="28" t="s">
        <v>210</v>
      </c>
      <c r="C8" s="29" t="s">
        <v>235</v>
      </c>
      <c r="D8" s="29" t="s">
        <v>8</v>
      </c>
      <c r="E8" s="29" t="s">
        <v>148</v>
      </c>
      <c r="F8" s="29" t="s">
        <v>199</v>
      </c>
      <c r="G8" s="30" t="s">
        <v>2797</v>
      </c>
    </row>
    <row r="9" customFormat="false" ht="12.8" hidden="false" customHeight="false" outlineLevel="0" collapsed="false">
      <c r="A9" s="31" t="s">
        <v>615</v>
      </c>
      <c r="B9" s="33"/>
      <c r="C9" s="34"/>
      <c r="D9" s="34" t="n">
        <v>2</v>
      </c>
      <c r="E9" s="34"/>
      <c r="F9" s="35" t="n">
        <v>4</v>
      </c>
      <c r="G9" s="36" t="n">
        <v>6</v>
      </c>
    </row>
    <row r="10" customFormat="false" ht="12.8" hidden="false" customHeight="false" outlineLevel="0" collapsed="false">
      <c r="A10" s="37" t="s">
        <v>1060</v>
      </c>
      <c r="B10" s="39"/>
      <c r="C10" s="40" t="n">
        <v>1</v>
      </c>
      <c r="D10" s="40"/>
      <c r="E10" s="40"/>
      <c r="F10" s="41" t="n">
        <v>1</v>
      </c>
      <c r="G10" s="42" t="n">
        <v>2</v>
      </c>
    </row>
    <row r="11" customFormat="false" ht="12.8" hidden="false" customHeight="false" outlineLevel="0" collapsed="false">
      <c r="A11" s="37" t="s">
        <v>2632</v>
      </c>
      <c r="B11" s="39" t="n">
        <v>1</v>
      </c>
      <c r="C11" s="40" t="n">
        <v>1</v>
      </c>
      <c r="D11" s="40"/>
      <c r="E11" s="40"/>
      <c r="F11" s="41" t="n">
        <v>2</v>
      </c>
      <c r="G11" s="42" t="n">
        <v>4</v>
      </c>
    </row>
    <row r="12" customFormat="false" ht="12.8" hidden="false" customHeight="false" outlineLevel="0" collapsed="false">
      <c r="A12" s="37" t="s">
        <v>232</v>
      </c>
      <c r="B12" s="39"/>
      <c r="C12" s="40" t="n">
        <v>3</v>
      </c>
      <c r="D12" s="40" t="n">
        <v>6</v>
      </c>
      <c r="E12" s="40" t="n">
        <v>2</v>
      </c>
      <c r="F12" s="41" t="n">
        <v>6</v>
      </c>
      <c r="G12" s="42" t="n">
        <v>17</v>
      </c>
    </row>
    <row r="13" customFormat="false" ht="12.8" hidden="false" customHeight="false" outlineLevel="0" collapsed="false">
      <c r="A13" s="37" t="s">
        <v>1325</v>
      </c>
      <c r="B13" s="39" t="n">
        <v>1</v>
      </c>
      <c r="C13" s="40" t="n">
        <v>1</v>
      </c>
      <c r="D13" s="40" t="n">
        <v>3</v>
      </c>
      <c r="E13" s="40"/>
      <c r="F13" s="41" t="n">
        <v>1</v>
      </c>
      <c r="G13" s="42" t="n">
        <v>6</v>
      </c>
    </row>
    <row r="14" customFormat="false" ht="12.8" hidden="false" customHeight="false" outlineLevel="0" collapsed="false">
      <c r="A14" s="37" t="s">
        <v>1636</v>
      </c>
      <c r="B14" s="39"/>
      <c r="C14" s="40" t="n">
        <v>1</v>
      </c>
      <c r="D14" s="40" t="n">
        <v>4</v>
      </c>
      <c r="E14" s="40"/>
      <c r="F14" s="41" t="n">
        <v>1</v>
      </c>
      <c r="G14" s="42" t="n">
        <v>6</v>
      </c>
    </row>
    <row r="15" customFormat="false" ht="12.8" hidden="false" customHeight="false" outlineLevel="0" collapsed="false">
      <c r="A15" s="37" t="s">
        <v>120</v>
      </c>
      <c r="B15" s="39" t="n">
        <v>1</v>
      </c>
      <c r="C15" s="40" t="n">
        <v>1</v>
      </c>
      <c r="D15" s="40" t="n">
        <v>6</v>
      </c>
      <c r="E15" s="40" t="n">
        <v>1</v>
      </c>
      <c r="F15" s="41" t="n">
        <v>7</v>
      </c>
      <c r="G15" s="42" t="n">
        <v>16</v>
      </c>
    </row>
    <row r="16" customFormat="false" ht="12.8" hidden="false" customHeight="false" outlineLevel="0" collapsed="false">
      <c r="A16" s="37" t="s">
        <v>101</v>
      </c>
      <c r="B16" s="39"/>
      <c r="C16" s="40"/>
      <c r="D16" s="40" t="n">
        <v>2</v>
      </c>
      <c r="E16" s="40" t="n">
        <v>2</v>
      </c>
      <c r="F16" s="41" t="n">
        <v>3</v>
      </c>
      <c r="G16" s="42" t="n">
        <v>7</v>
      </c>
    </row>
    <row r="17" customFormat="false" ht="12.8" hidden="false" customHeight="false" outlineLevel="0" collapsed="false">
      <c r="A17" s="37" t="s">
        <v>483</v>
      </c>
      <c r="B17" s="39"/>
      <c r="C17" s="40"/>
      <c r="D17" s="40" t="n">
        <v>2</v>
      </c>
      <c r="E17" s="40"/>
      <c r="F17" s="41" t="n">
        <v>3</v>
      </c>
      <c r="G17" s="42" t="n">
        <v>5</v>
      </c>
    </row>
    <row r="18" customFormat="false" ht="12.8" hidden="false" customHeight="false" outlineLevel="0" collapsed="false">
      <c r="A18" s="37" t="s">
        <v>1799</v>
      </c>
      <c r="B18" s="39" t="n">
        <v>2</v>
      </c>
      <c r="C18" s="40"/>
      <c r="D18" s="40" t="n">
        <v>2</v>
      </c>
      <c r="E18" s="40" t="n">
        <v>1</v>
      </c>
      <c r="F18" s="41" t="n">
        <v>2</v>
      </c>
      <c r="G18" s="42" t="n">
        <v>7</v>
      </c>
    </row>
    <row r="19" customFormat="false" ht="12.8" hidden="false" customHeight="false" outlineLevel="0" collapsed="false">
      <c r="A19" s="37" t="s">
        <v>2532</v>
      </c>
      <c r="B19" s="39"/>
      <c r="C19" s="40" t="n">
        <v>3</v>
      </c>
      <c r="D19" s="40" t="n">
        <v>1</v>
      </c>
      <c r="E19" s="40" t="n">
        <v>1</v>
      </c>
      <c r="F19" s="41" t="n">
        <v>2</v>
      </c>
      <c r="G19" s="42" t="n">
        <v>7</v>
      </c>
    </row>
    <row r="20" customFormat="false" ht="12.8" hidden="false" customHeight="false" outlineLevel="0" collapsed="false">
      <c r="A20" s="37" t="s">
        <v>1182</v>
      </c>
      <c r="B20" s="39"/>
      <c r="C20" s="40" t="n">
        <v>1</v>
      </c>
      <c r="D20" s="40" t="n">
        <v>2</v>
      </c>
      <c r="E20" s="40"/>
      <c r="F20" s="41"/>
      <c r="G20" s="42" t="n">
        <v>3</v>
      </c>
    </row>
    <row r="21" customFormat="false" ht="12.8" hidden="false" customHeight="false" outlineLevel="0" collapsed="false">
      <c r="A21" s="37" t="s">
        <v>1732</v>
      </c>
      <c r="B21" s="39" t="n">
        <v>1</v>
      </c>
      <c r="C21" s="40"/>
      <c r="D21" s="40"/>
      <c r="E21" s="40"/>
      <c r="F21" s="41"/>
      <c r="G21" s="42" t="n">
        <v>1</v>
      </c>
    </row>
    <row r="22" customFormat="false" ht="12.8" hidden="false" customHeight="false" outlineLevel="0" collapsed="false">
      <c r="A22" s="37" t="s">
        <v>1351</v>
      </c>
      <c r="B22" s="39"/>
      <c r="C22" s="40" t="n">
        <v>1</v>
      </c>
      <c r="D22" s="40" t="n">
        <v>3</v>
      </c>
      <c r="E22" s="40"/>
      <c r="F22" s="41" t="n">
        <v>2</v>
      </c>
      <c r="G22" s="42" t="n">
        <v>6</v>
      </c>
    </row>
    <row r="23" customFormat="false" ht="12.8" hidden="false" customHeight="false" outlineLevel="0" collapsed="false">
      <c r="A23" s="37" t="s">
        <v>2715</v>
      </c>
      <c r="B23" s="39"/>
      <c r="C23" s="40" t="n">
        <v>1</v>
      </c>
      <c r="D23" s="40"/>
      <c r="E23" s="40" t="n">
        <v>1</v>
      </c>
      <c r="F23" s="41" t="n">
        <v>2</v>
      </c>
      <c r="G23" s="42" t="n">
        <v>4</v>
      </c>
    </row>
    <row r="24" customFormat="false" ht="12.8" hidden="false" customHeight="false" outlineLevel="0" collapsed="false">
      <c r="A24" s="37" t="s">
        <v>1907</v>
      </c>
      <c r="B24" s="39"/>
      <c r="C24" s="40" t="n">
        <v>1</v>
      </c>
      <c r="D24" s="40"/>
      <c r="E24" s="40"/>
      <c r="F24" s="41"/>
      <c r="G24" s="42" t="n">
        <v>1</v>
      </c>
    </row>
    <row r="25" customFormat="false" ht="12.8" hidden="false" customHeight="false" outlineLevel="0" collapsed="false">
      <c r="A25" s="37" t="s">
        <v>1510</v>
      </c>
      <c r="B25" s="39"/>
      <c r="C25" s="40"/>
      <c r="D25" s="40"/>
      <c r="E25" s="40" t="n">
        <v>1</v>
      </c>
      <c r="F25" s="41" t="n">
        <v>3</v>
      </c>
      <c r="G25" s="42" t="n">
        <v>4</v>
      </c>
    </row>
    <row r="26" customFormat="false" ht="12.8" hidden="false" customHeight="false" outlineLevel="0" collapsed="false">
      <c r="A26" s="37" t="s">
        <v>2673</v>
      </c>
      <c r="B26" s="39"/>
      <c r="C26" s="40" t="n">
        <v>2</v>
      </c>
      <c r="D26" s="40"/>
      <c r="E26" s="40" t="n">
        <v>1</v>
      </c>
      <c r="F26" s="41" t="n">
        <v>1</v>
      </c>
      <c r="G26" s="42" t="n">
        <v>4</v>
      </c>
    </row>
    <row r="27" customFormat="false" ht="12.8" hidden="false" customHeight="false" outlineLevel="0" collapsed="false">
      <c r="A27" s="37" t="s">
        <v>917</v>
      </c>
      <c r="B27" s="39"/>
      <c r="C27" s="40"/>
      <c r="D27" s="40" t="n">
        <v>2</v>
      </c>
      <c r="E27" s="40"/>
      <c r="F27" s="41" t="n">
        <v>3</v>
      </c>
      <c r="G27" s="42" t="n">
        <v>5</v>
      </c>
    </row>
    <row r="28" customFormat="false" ht="12.8" hidden="false" customHeight="false" outlineLevel="0" collapsed="false">
      <c r="A28" s="37" t="s">
        <v>1958</v>
      </c>
      <c r="B28" s="39"/>
      <c r="C28" s="40" t="n">
        <v>3</v>
      </c>
      <c r="D28" s="40" t="n">
        <v>2</v>
      </c>
      <c r="E28" s="40" t="n">
        <v>4</v>
      </c>
      <c r="F28" s="41" t="n">
        <v>13</v>
      </c>
      <c r="G28" s="42" t="n">
        <v>22</v>
      </c>
    </row>
    <row r="29" customFormat="false" ht="12.8" hidden="false" customHeight="false" outlineLevel="0" collapsed="false">
      <c r="A29" s="37" t="s">
        <v>1012</v>
      </c>
      <c r="B29" s="39"/>
      <c r="C29" s="40" t="n">
        <v>2</v>
      </c>
      <c r="D29" s="40"/>
      <c r="E29" s="40" t="n">
        <v>2</v>
      </c>
      <c r="F29" s="41" t="n">
        <v>2</v>
      </c>
      <c r="G29" s="42" t="n">
        <v>6</v>
      </c>
    </row>
    <row r="30" customFormat="false" ht="12.8" hidden="false" customHeight="false" outlineLevel="0" collapsed="false">
      <c r="A30" s="37" t="s">
        <v>1742</v>
      </c>
      <c r="B30" s="39" t="n">
        <v>1</v>
      </c>
      <c r="C30" s="40"/>
      <c r="D30" s="40" t="n">
        <v>4</v>
      </c>
      <c r="E30" s="40"/>
      <c r="F30" s="41"/>
      <c r="G30" s="42" t="n">
        <v>5</v>
      </c>
    </row>
    <row r="31" customFormat="false" ht="12.8" hidden="false" customHeight="false" outlineLevel="0" collapsed="false">
      <c r="A31" s="37" t="s">
        <v>109</v>
      </c>
      <c r="B31" s="39"/>
      <c r="C31" s="40" t="n">
        <v>1</v>
      </c>
      <c r="D31" s="40" t="n">
        <v>1</v>
      </c>
      <c r="E31" s="40" t="n">
        <v>1</v>
      </c>
      <c r="F31" s="41" t="n">
        <v>3</v>
      </c>
      <c r="G31" s="42" t="n">
        <v>6</v>
      </c>
    </row>
    <row r="32" customFormat="false" ht="12.8" hidden="false" customHeight="false" outlineLevel="0" collapsed="false">
      <c r="A32" s="37" t="s">
        <v>1086</v>
      </c>
      <c r="B32" s="39"/>
      <c r="C32" s="40" t="n">
        <v>1</v>
      </c>
      <c r="D32" s="40" t="n">
        <v>2</v>
      </c>
      <c r="E32" s="40"/>
      <c r="F32" s="41" t="n">
        <v>1</v>
      </c>
      <c r="G32" s="42" t="n">
        <v>4</v>
      </c>
    </row>
    <row r="33" customFormat="false" ht="12.8" hidden="false" customHeight="false" outlineLevel="0" collapsed="false">
      <c r="A33" s="37" t="s">
        <v>269</v>
      </c>
      <c r="B33" s="39" t="n">
        <v>1</v>
      </c>
      <c r="C33" s="40"/>
      <c r="D33" s="40" t="n">
        <v>1</v>
      </c>
      <c r="E33" s="40"/>
      <c r="F33" s="41" t="n">
        <v>7</v>
      </c>
      <c r="G33" s="42" t="n">
        <v>9</v>
      </c>
    </row>
    <row r="34" customFormat="false" ht="12.8" hidden="false" customHeight="false" outlineLevel="0" collapsed="false">
      <c r="A34" s="37" t="s">
        <v>83</v>
      </c>
      <c r="B34" s="39" t="n">
        <v>4</v>
      </c>
      <c r="C34" s="40" t="n">
        <v>8</v>
      </c>
      <c r="D34" s="40" t="n">
        <v>8</v>
      </c>
      <c r="E34" s="40" t="n">
        <v>1</v>
      </c>
      <c r="F34" s="41" t="n">
        <v>6</v>
      </c>
      <c r="G34" s="42" t="n">
        <v>27</v>
      </c>
    </row>
    <row r="35" customFormat="false" ht="12.8" hidden="false" customHeight="false" outlineLevel="0" collapsed="false">
      <c r="A35" s="37" t="s">
        <v>1683</v>
      </c>
      <c r="B35" s="39" t="n">
        <v>2</v>
      </c>
      <c r="C35" s="40"/>
      <c r="D35" s="40"/>
      <c r="E35" s="40" t="n">
        <v>1</v>
      </c>
      <c r="F35" s="41"/>
      <c r="G35" s="42" t="n">
        <v>3</v>
      </c>
    </row>
    <row r="36" customFormat="false" ht="12.8" hidden="false" customHeight="false" outlineLevel="0" collapsed="false">
      <c r="A36" s="37" t="s">
        <v>1835</v>
      </c>
      <c r="B36" s="39" t="n">
        <v>1</v>
      </c>
      <c r="C36" s="40" t="n">
        <v>2</v>
      </c>
      <c r="D36" s="40" t="n">
        <v>1</v>
      </c>
      <c r="E36" s="40"/>
      <c r="F36" s="41" t="n">
        <v>5</v>
      </c>
      <c r="G36" s="42" t="n">
        <v>9</v>
      </c>
    </row>
    <row r="37" customFormat="false" ht="12.8" hidden="false" customHeight="false" outlineLevel="0" collapsed="false">
      <c r="A37" s="37" t="s">
        <v>677</v>
      </c>
      <c r="B37" s="39"/>
      <c r="C37" s="40"/>
      <c r="D37" s="40" t="n">
        <v>6</v>
      </c>
      <c r="E37" s="40" t="n">
        <v>1</v>
      </c>
      <c r="F37" s="41" t="n">
        <v>5</v>
      </c>
      <c r="G37" s="42" t="n">
        <v>12</v>
      </c>
    </row>
    <row r="38" customFormat="false" ht="12.8" hidden="false" customHeight="false" outlineLevel="0" collapsed="false">
      <c r="A38" s="37" t="s">
        <v>2016</v>
      </c>
      <c r="B38" s="39"/>
      <c r="C38" s="40" t="n">
        <v>2</v>
      </c>
      <c r="D38" s="40" t="n">
        <v>1</v>
      </c>
      <c r="E38" s="40" t="n">
        <v>2</v>
      </c>
      <c r="F38" s="41"/>
      <c r="G38" s="42" t="n">
        <v>5</v>
      </c>
    </row>
    <row r="39" customFormat="false" ht="12.8" hidden="false" customHeight="false" outlineLevel="0" collapsed="false">
      <c r="A39" s="37" t="s">
        <v>207</v>
      </c>
      <c r="B39" s="39"/>
      <c r="C39" s="40"/>
      <c r="D39" s="40" t="n">
        <v>4</v>
      </c>
      <c r="E39" s="40" t="n">
        <v>1</v>
      </c>
      <c r="F39" s="41" t="n">
        <v>2</v>
      </c>
      <c r="G39" s="42" t="n">
        <v>7</v>
      </c>
    </row>
    <row r="40" customFormat="false" ht="12.8" hidden="false" customHeight="false" outlineLevel="0" collapsed="false">
      <c r="A40" s="37" t="s">
        <v>2130</v>
      </c>
      <c r="B40" s="39"/>
      <c r="C40" s="40"/>
      <c r="D40" s="40"/>
      <c r="E40" s="40" t="n">
        <v>1</v>
      </c>
      <c r="F40" s="41" t="n">
        <v>2</v>
      </c>
      <c r="G40" s="42" t="n">
        <v>3</v>
      </c>
    </row>
    <row r="41" customFormat="false" ht="12.8" hidden="false" customHeight="false" outlineLevel="0" collapsed="false">
      <c r="A41" s="37" t="s">
        <v>1896</v>
      </c>
      <c r="B41" s="39"/>
      <c r="C41" s="40"/>
      <c r="D41" s="40"/>
      <c r="E41" s="40"/>
      <c r="F41" s="41" t="n">
        <v>1</v>
      </c>
      <c r="G41" s="42" t="n">
        <v>1</v>
      </c>
    </row>
    <row r="42" customFormat="false" ht="12.8" hidden="false" customHeight="false" outlineLevel="0" collapsed="false">
      <c r="A42" s="37" t="s">
        <v>549</v>
      </c>
      <c r="B42" s="39" t="n">
        <v>1</v>
      </c>
      <c r="C42" s="40" t="n">
        <v>3</v>
      </c>
      <c r="D42" s="40" t="n">
        <v>2</v>
      </c>
      <c r="E42" s="40"/>
      <c r="F42" s="41" t="n">
        <v>4</v>
      </c>
      <c r="G42" s="42" t="n">
        <v>10</v>
      </c>
    </row>
    <row r="43" customFormat="false" ht="12.8" hidden="false" customHeight="false" outlineLevel="0" collapsed="false">
      <c r="A43" s="37" t="s">
        <v>585</v>
      </c>
      <c r="B43" s="39"/>
      <c r="C43" s="40" t="n">
        <v>3</v>
      </c>
      <c r="D43" s="40" t="n">
        <v>2</v>
      </c>
      <c r="E43" s="40" t="n">
        <v>1</v>
      </c>
      <c r="F43" s="41" t="n">
        <v>1</v>
      </c>
      <c r="G43" s="42" t="n">
        <v>7</v>
      </c>
    </row>
    <row r="44" customFormat="false" ht="12.8" hidden="false" customHeight="false" outlineLevel="0" collapsed="false">
      <c r="A44" s="37" t="s">
        <v>1778</v>
      </c>
      <c r="B44" s="39"/>
      <c r="C44" s="40"/>
      <c r="D44" s="40" t="n">
        <v>1</v>
      </c>
      <c r="E44" s="40"/>
      <c r="F44" s="41"/>
      <c r="G44" s="42" t="n">
        <v>1</v>
      </c>
    </row>
    <row r="45" customFormat="false" ht="12.8" hidden="false" customHeight="false" outlineLevel="0" collapsed="false">
      <c r="A45" s="37" t="s">
        <v>1207</v>
      </c>
      <c r="B45" s="39"/>
      <c r="C45" s="40" t="n">
        <v>7</v>
      </c>
      <c r="D45" s="40" t="n">
        <v>4</v>
      </c>
      <c r="E45" s="40"/>
      <c r="F45" s="41"/>
      <c r="G45" s="42" t="n">
        <v>11</v>
      </c>
    </row>
    <row r="46" customFormat="false" ht="12.8" hidden="false" customHeight="false" outlineLevel="0" collapsed="false">
      <c r="A46" s="37" t="s">
        <v>2756</v>
      </c>
      <c r="B46" s="39"/>
      <c r="C46" s="40" t="n">
        <v>2</v>
      </c>
      <c r="D46" s="40" t="n">
        <v>2</v>
      </c>
      <c r="E46" s="40"/>
      <c r="F46" s="41" t="n">
        <v>1</v>
      </c>
      <c r="G46" s="42" t="n">
        <v>5</v>
      </c>
    </row>
    <row r="47" customFormat="false" ht="12.8" hidden="false" customHeight="false" outlineLevel="0" collapsed="false">
      <c r="A47" s="37" t="s">
        <v>667</v>
      </c>
      <c r="B47" s="39"/>
      <c r="C47" s="40" t="n">
        <v>3</v>
      </c>
      <c r="D47" s="40" t="n">
        <v>1</v>
      </c>
      <c r="E47" s="40"/>
      <c r="F47" s="41" t="n">
        <v>1</v>
      </c>
      <c r="G47" s="42" t="n">
        <v>5</v>
      </c>
    </row>
    <row r="48" customFormat="false" ht="12.8" hidden="false" customHeight="false" outlineLevel="0" collapsed="false">
      <c r="A48" s="37" t="s">
        <v>144</v>
      </c>
      <c r="B48" s="39" t="n">
        <v>2</v>
      </c>
      <c r="C48" s="40" t="n">
        <v>1</v>
      </c>
      <c r="D48" s="40" t="n">
        <v>2</v>
      </c>
      <c r="E48" s="40" t="n">
        <v>2</v>
      </c>
      <c r="F48" s="41" t="n">
        <v>7</v>
      </c>
      <c r="G48" s="42" t="n">
        <v>14</v>
      </c>
    </row>
    <row r="49" customFormat="false" ht="12.8" hidden="false" customHeight="false" outlineLevel="0" collapsed="false">
      <c r="A49" s="37" t="s">
        <v>1918</v>
      </c>
      <c r="B49" s="45"/>
      <c r="C49" s="46" t="n">
        <v>1</v>
      </c>
      <c r="D49" s="46"/>
      <c r="E49" s="46"/>
      <c r="F49" s="47" t="n">
        <v>1</v>
      </c>
      <c r="G49" s="48" t="n">
        <v>2</v>
      </c>
    </row>
    <row r="50" customFormat="false" ht="12.8" hidden="false" customHeight="false" outlineLevel="0" collapsed="false">
      <c r="A50" s="58" t="s">
        <v>2797</v>
      </c>
      <c r="B50" s="51" t="n">
        <v>18</v>
      </c>
      <c r="C50" s="52" t="n">
        <v>56</v>
      </c>
      <c r="D50" s="52" t="n">
        <v>79</v>
      </c>
      <c r="E50" s="52" t="n">
        <v>27</v>
      </c>
      <c r="F50" s="53" t="n">
        <v>105</v>
      </c>
      <c r="G50" s="54" t="n">
        <v>285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2801</v>
      </c>
    </row>
    <row r="2" customFormat="false" ht="12.8" hidden="false" customHeight="false" outlineLevel="0" collapsed="false">
      <c r="A2" s="19" t="s">
        <v>2794</v>
      </c>
    </row>
    <row r="4" customFormat="false" ht="12.8" hidden="false" customHeight="false" outlineLevel="0" collapsed="false">
      <c r="A4" s="20" t="s">
        <v>2795</v>
      </c>
    </row>
    <row r="5" customFormat="false" ht="12.8" hidden="false" customHeight="false" outlineLevel="0" collapsed="false">
      <c r="A5" s="55" t="s">
        <v>36</v>
      </c>
      <c r="B5" s="56" t="s">
        <v>2799</v>
      </c>
    </row>
    <row r="7" customFormat="false" ht="12.8" hidden="false" customHeight="false" outlineLevel="0" collapsed="false">
      <c r="A7" s="57" t="s">
        <v>2796</v>
      </c>
      <c r="B7" s="23" t="s">
        <v>52</v>
      </c>
      <c r="C7" s="24"/>
      <c r="D7" s="24"/>
      <c r="E7" s="24"/>
      <c r="F7" s="25"/>
    </row>
    <row r="8" customFormat="false" ht="12.8" hidden="false" customHeight="false" outlineLevel="0" collapsed="false">
      <c r="A8" s="26" t="s">
        <v>40</v>
      </c>
      <c r="B8" s="28" t="s">
        <v>2802</v>
      </c>
      <c r="C8" s="29" t="s">
        <v>2803</v>
      </c>
      <c r="D8" s="29" t="s">
        <v>2804</v>
      </c>
      <c r="E8" s="29" t="s">
        <v>2805</v>
      </c>
      <c r="F8" s="30" t="s">
        <v>2797</v>
      </c>
    </row>
    <row r="9" customFormat="false" ht="12.8" hidden="false" customHeight="false" outlineLevel="0" collapsed="false">
      <c r="A9" s="31" t="s">
        <v>115</v>
      </c>
      <c r="B9" s="33" t="n">
        <v>4</v>
      </c>
      <c r="C9" s="34" t="n">
        <v>9</v>
      </c>
      <c r="D9" s="34" t="n">
        <v>1</v>
      </c>
      <c r="E9" s="35"/>
      <c r="F9" s="36" t="n">
        <v>14</v>
      </c>
    </row>
    <row r="10" customFormat="false" ht="12.8" hidden="false" customHeight="false" outlineLevel="0" collapsed="false">
      <c r="A10" s="37" t="s">
        <v>72</v>
      </c>
      <c r="B10" s="39" t="n">
        <v>19</v>
      </c>
      <c r="C10" s="40" t="n">
        <v>70</v>
      </c>
      <c r="D10" s="40" t="n">
        <v>11</v>
      </c>
      <c r="E10" s="41" t="n">
        <v>3</v>
      </c>
      <c r="F10" s="42" t="n">
        <v>103</v>
      </c>
    </row>
    <row r="11" customFormat="false" ht="12.8" hidden="false" customHeight="false" outlineLevel="0" collapsed="false">
      <c r="A11" s="37" t="s">
        <v>89</v>
      </c>
      <c r="B11" s="39" t="n">
        <v>2</v>
      </c>
      <c r="C11" s="40" t="n">
        <v>17</v>
      </c>
      <c r="D11" s="40" t="n">
        <v>5</v>
      </c>
      <c r="E11" s="41"/>
      <c r="F11" s="42" t="n">
        <v>24</v>
      </c>
    </row>
    <row r="12" customFormat="false" ht="12.8" hidden="false" customHeight="false" outlineLevel="0" collapsed="false">
      <c r="A12" s="37" t="s">
        <v>210</v>
      </c>
      <c r="B12" s="45" t="n">
        <v>13</v>
      </c>
      <c r="C12" s="46" t="n">
        <v>97</v>
      </c>
      <c r="D12" s="46" t="n">
        <v>33</v>
      </c>
      <c r="E12" s="47" t="n">
        <v>1</v>
      </c>
      <c r="F12" s="48" t="n">
        <v>144</v>
      </c>
    </row>
    <row r="13" customFormat="false" ht="12.8" hidden="false" customHeight="false" outlineLevel="0" collapsed="false">
      <c r="A13" s="58" t="s">
        <v>2797</v>
      </c>
      <c r="B13" s="51" t="n">
        <v>38</v>
      </c>
      <c r="C13" s="52" t="n">
        <v>193</v>
      </c>
      <c r="D13" s="52" t="n">
        <v>50</v>
      </c>
      <c r="E13" s="53" t="n">
        <v>4</v>
      </c>
      <c r="F13" s="54" t="n">
        <v>285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2806</v>
      </c>
    </row>
    <row r="2" customFormat="false" ht="12.8" hidden="false" customHeight="false" outlineLevel="0" collapsed="false">
      <c r="A2" s="19" t="s">
        <v>2794</v>
      </c>
    </row>
    <row r="4" customFormat="false" ht="12.8" hidden="false" customHeight="false" outlineLevel="0" collapsed="false">
      <c r="A4" s="20" t="s">
        <v>2795</v>
      </c>
    </row>
    <row r="5" customFormat="false" ht="12.8" hidden="false" customHeight="false" outlineLevel="0" collapsed="false">
      <c r="A5" s="55" t="s">
        <v>39</v>
      </c>
      <c r="B5" s="56" t="s">
        <v>2799</v>
      </c>
    </row>
    <row r="7" customFormat="false" ht="12.8" hidden="false" customHeight="false" outlineLevel="0" collapsed="false">
      <c r="A7" s="57" t="s">
        <v>2796</v>
      </c>
      <c r="B7" s="23" t="s">
        <v>36</v>
      </c>
      <c r="C7" s="24"/>
      <c r="D7" s="25"/>
    </row>
    <row r="8" customFormat="false" ht="12.8" hidden="false" customHeight="false" outlineLevel="0" collapsed="false">
      <c r="A8" s="26" t="s">
        <v>43</v>
      </c>
      <c r="B8" s="28" t="s">
        <v>9</v>
      </c>
      <c r="C8" s="29" t="s">
        <v>6</v>
      </c>
      <c r="D8" s="30" t="s">
        <v>2797</v>
      </c>
    </row>
    <row r="9" customFormat="false" ht="12.8" hidden="false" customHeight="false" outlineLevel="0" collapsed="false">
      <c r="A9" s="31" t="s">
        <v>74</v>
      </c>
      <c r="B9" s="33" t="n">
        <v>15</v>
      </c>
      <c r="C9" s="35" t="n">
        <v>24</v>
      </c>
      <c r="D9" s="36" t="n">
        <v>39</v>
      </c>
    </row>
    <row r="10" customFormat="false" ht="12.8" hidden="false" customHeight="false" outlineLevel="0" collapsed="false">
      <c r="A10" s="37" t="s">
        <v>91</v>
      </c>
      <c r="B10" s="45" t="n">
        <v>69</v>
      </c>
      <c r="C10" s="47" t="n">
        <v>177</v>
      </c>
      <c r="D10" s="48" t="n">
        <v>246</v>
      </c>
    </row>
    <row r="11" customFormat="false" ht="12.8" hidden="false" customHeight="false" outlineLevel="0" collapsed="false">
      <c r="A11" s="58" t="s">
        <v>2797</v>
      </c>
      <c r="B11" s="51" t="n">
        <v>84</v>
      </c>
      <c r="C11" s="53" t="n">
        <v>201</v>
      </c>
      <c r="D11" s="54" t="n">
        <v>285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2.05" hidden="false" customHeight="false" outlineLevel="0" collapsed="false">
      <c r="A1" s="1" t="s">
        <v>2807</v>
      </c>
    </row>
    <row r="2" customFormat="false" ht="15" hidden="false" customHeight="false" outlineLevel="0" collapsed="false">
      <c r="A2" s="2" t="s">
        <v>2808</v>
      </c>
    </row>
    <row r="4" customFormat="false" ht="30" hidden="false" customHeight="true" outlineLevel="0" collapsed="false">
      <c r="A4" s="13" t="s">
        <v>41</v>
      </c>
      <c r="B4" s="13" t="s">
        <v>2809</v>
      </c>
      <c r="C4" s="59"/>
      <c r="D4" s="13" t="s">
        <v>39</v>
      </c>
      <c r="E4" s="13" t="s">
        <v>2809</v>
      </c>
      <c r="F4" s="59"/>
      <c r="G4" s="13" t="s">
        <v>52</v>
      </c>
      <c r="H4" s="13" t="s">
        <v>2810</v>
      </c>
    </row>
    <row r="5" customFormat="false" ht="15" hidden="false" customHeight="false" outlineLevel="0" collapsed="false">
      <c r="A5" s="4" t="s">
        <v>8</v>
      </c>
      <c r="B5" s="60" t="n">
        <v>3</v>
      </c>
      <c r="D5" s="4" t="s">
        <v>126</v>
      </c>
      <c r="E5" s="60" t="n">
        <v>3</v>
      </c>
      <c r="G5" s="4" t="s">
        <v>2802</v>
      </c>
      <c r="H5" s="60" t="n">
        <v>6</v>
      </c>
      <c r="I5" s="2" t="s">
        <v>2811</v>
      </c>
    </row>
    <row r="6" customFormat="false" ht="15" hidden="false" customHeight="false" outlineLevel="0" collapsed="false">
      <c r="A6" s="4" t="s">
        <v>148</v>
      </c>
      <c r="B6" s="60" t="n">
        <v>3</v>
      </c>
      <c r="D6" s="4" t="s">
        <v>137</v>
      </c>
      <c r="E6" s="60" t="n">
        <v>3</v>
      </c>
      <c r="G6" s="4" t="s">
        <v>2803</v>
      </c>
      <c r="H6" s="60" t="n">
        <v>4</v>
      </c>
      <c r="I6" s="2" t="s">
        <v>2812</v>
      </c>
    </row>
    <row r="7" customFormat="false" ht="15" hidden="false" customHeight="false" outlineLevel="0" collapsed="false">
      <c r="A7" s="4" t="s">
        <v>235</v>
      </c>
      <c r="B7" s="60" t="n">
        <v>2</v>
      </c>
      <c r="D7" s="4" t="s">
        <v>475</v>
      </c>
      <c r="E7" s="60" t="n">
        <v>3</v>
      </c>
      <c r="G7" s="4" t="s">
        <v>2804</v>
      </c>
      <c r="H7" s="4" t="s">
        <v>2813</v>
      </c>
      <c r="I7" s="2" t="s">
        <v>2814</v>
      </c>
    </row>
    <row r="8" customFormat="false" ht="15" hidden="false" customHeight="false" outlineLevel="0" collapsed="false">
      <c r="A8" s="4" t="s">
        <v>210</v>
      </c>
      <c r="B8" s="60" t="n">
        <v>1</v>
      </c>
      <c r="D8" s="4" t="s">
        <v>1005</v>
      </c>
      <c r="E8" s="60" t="n">
        <v>3</v>
      </c>
      <c r="G8" s="4"/>
      <c r="H8" s="4"/>
      <c r="I8" s="2" t="s">
        <v>2815</v>
      </c>
    </row>
    <row r="9" customFormat="false" ht="15" hidden="false" customHeight="false" outlineLevel="0" collapsed="false">
      <c r="A9" s="4" t="s">
        <v>199</v>
      </c>
      <c r="B9" s="60" t="n">
        <v>1</v>
      </c>
      <c r="D9" s="4" t="s">
        <v>114</v>
      </c>
      <c r="E9" s="60" t="n">
        <v>2</v>
      </c>
      <c r="G9" s="4" t="s">
        <v>2816</v>
      </c>
      <c r="H9" s="60" t="n">
        <v>10</v>
      </c>
      <c r="I9" s="2" t="s">
        <v>2817</v>
      </c>
    </row>
    <row r="10" customFormat="false" ht="15" hidden="false" customHeight="false" outlineLevel="0" collapsed="false">
      <c r="A10" s="4"/>
      <c r="B10" s="4"/>
      <c r="D10" s="4" t="s">
        <v>71</v>
      </c>
      <c r="E10" s="60" t="n">
        <v>2</v>
      </c>
      <c r="G10" s="4" t="s">
        <v>2818</v>
      </c>
      <c r="H10" s="60" t="n">
        <v>2000</v>
      </c>
      <c r="I10" s="2" t="s">
        <v>2819</v>
      </c>
    </row>
    <row r="11" customFormat="false" ht="15" hidden="false" customHeight="false" outlineLevel="0" collapsed="false">
      <c r="A11" s="4"/>
      <c r="B11" s="4"/>
      <c r="D11" s="4" t="s">
        <v>909</v>
      </c>
      <c r="E11" s="60" t="n">
        <v>2</v>
      </c>
      <c r="G11" s="4"/>
      <c r="H11" s="4"/>
      <c r="I11" s="2" t="s">
        <v>2820</v>
      </c>
    </row>
    <row r="12" customFormat="false" ht="15" hidden="false" customHeight="false" outlineLevel="0" collapsed="false">
      <c r="A12" s="4"/>
      <c r="B12" s="4"/>
      <c r="D12" s="4" t="s">
        <v>225</v>
      </c>
      <c r="E12" s="60" t="n">
        <v>2</v>
      </c>
      <c r="G12" s="4"/>
      <c r="H12" s="4"/>
      <c r="I12" s="2" t="s">
        <v>2821</v>
      </c>
    </row>
    <row r="13" customFormat="false" ht="15" hidden="false" customHeight="false" outlineLevel="0" collapsed="false">
      <c r="A13" s="4"/>
      <c r="B13" s="4"/>
      <c r="D13" s="4" t="s">
        <v>539</v>
      </c>
      <c r="E13" s="60" t="n">
        <v>1</v>
      </c>
      <c r="G13" s="4"/>
      <c r="H13" s="4"/>
      <c r="I13" s="2" t="s">
        <v>2822</v>
      </c>
    </row>
    <row r="14" customFormat="false" ht="15" hidden="false" customHeight="false" outlineLevel="0" collapsed="false">
      <c r="A14" s="4"/>
      <c r="B14" s="4"/>
      <c r="D14" s="4" t="s">
        <v>607</v>
      </c>
      <c r="E14" s="60" t="n">
        <v>1</v>
      </c>
      <c r="G14" s="4"/>
      <c r="H14" s="4"/>
      <c r="I14" s="2" t="s">
        <v>2823</v>
      </c>
    </row>
    <row r="15" customFormat="false" ht="15" hidden="false" customHeight="false" outlineLevel="0" collapsed="false">
      <c r="A15" s="4"/>
      <c r="B15" s="4"/>
      <c r="D15" s="4" t="s">
        <v>1629</v>
      </c>
      <c r="E15" s="60" t="n">
        <v>2</v>
      </c>
      <c r="G15" s="4"/>
      <c r="H15" s="4"/>
      <c r="I15" s="2" t="s">
        <v>2824</v>
      </c>
    </row>
    <row r="16" customFormat="false" ht="15" hidden="false" customHeight="false" outlineLevel="0" collapsed="false">
      <c r="A16" s="4"/>
      <c r="B16" s="4"/>
      <c r="D16" s="4" t="s">
        <v>1201</v>
      </c>
      <c r="E16" s="60" t="n">
        <v>3</v>
      </c>
      <c r="G16" s="4"/>
      <c r="H16" s="4"/>
      <c r="I16" s="2" t="s">
        <v>2825</v>
      </c>
    </row>
    <row r="17" customFormat="false" ht="15" hidden="false" customHeight="false" outlineLevel="0" collapsed="false">
      <c r="A17" s="4"/>
      <c r="B17" s="4"/>
      <c r="D17" s="4" t="s">
        <v>1737</v>
      </c>
      <c r="E17" s="60" t="n">
        <v>2</v>
      </c>
      <c r="G17" s="4"/>
      <c r="H17" s="4"/>
      <c r="I17" s="2" t="s">
        <v>2826</v>
      </c>
    </row>
    <row r="18" customFormat="false" ht="15" hidden="false" customHeight="false" outlineLevel="0" collapsed="false">
      <c r="A18" s="4"/>
      <c r="B18" s="4"/>
      <c r="D18" s="4" t="s">
        <v>1791</v>
      </c>
      <c r="E18" s="60" t="n">
        <v>2</v>
      </c>
      <c r="G18" s="4"/>
      <c r="H18" s="4"/>
      <c r="I18" s="2" t="s">
        <v>2827</v>
      </c>
    </row>
    <row r="19" customFormat="false" ht="15" hidden="false" customHeight="false" outlineLevel="0" collapsed="false">
      <c r="A19" s="4"/>
      <c r="B19" s="4"/>
      <c r="D19" s="4" t="s">
        <v>1345</v>
      </c>
      <c r="E19" s="60" t="n">
        <v>1</v>
      </c>
      <c r="G19" s="4"/>
      <c r="H19" s="4"/>
      <c r="I19" s="2" t="s">
        <v>2828</v>
      </c>
    </row>
    <row r="20" customFormat="false" ht="15" hidden="false" customHeight="false" outlineLevel="0" collapsed="false">
      <c r="A20" s="4"/>
      <c r="B20" s="4"/>
      <c r="D20" s="4" t="s">
        <v>2500</v>
      </c>
      <c r="E20" s="60" t="n">
        <v>2</v>
      </c>
      <c r="G20" s="4"/>
      <c r="H20" s="4"/>
      <c r="I20" s="2" t="s">
        <v>2829</v>
      </c>
    </row>
    <row r="21" customFormat="false" ht="15" hidden="false" customHeight="false" outlineLevel="0" collapsed="false">
      <c r="A21" s="4"/>
      <c r="B21" s="4"/>
      <c r="D21" s="4" t="s">
        <v>2830</v>
      </c>
      <c r="E21" s="60" t="n">
        <v>1</v>
      </c>
      <c r="G21" s="4"/>
      <c r="H21" s="4"/>
    </row>
    <row r="22" customFormat="false" ht="15" hidden="false" customHeight="false" outlineLevel="0" collapsed="false">
      <c r="A22" s="4"/>
      <c r="B22" s="4"/>
      <c r="D22" s="4"/>
      <c r="E22" s="4"/>
      <c r="G22" s="4"/>
      <c r="H22" s="4"/>
    </row>
    <row r="23" customFormat="false" ht="15" hidden="false" customHeight="false" outlineLevel="0" collapsed="false">
      <c r="A23" s="4"/>
      <c r="B23" s="4"/>
      <c r="D23" s="4"/>
      <c r="E23" s="4"/>
      <c r="G23" s="4"/>
      <c r="H23" s="4"/>
    </row>
    <row r="24" customFormat="false" ht="15" hidden="false" customHeight="false" outlineLevel="0" collapsed="false">
      <c r="A24" s="2" t="s">
        <v>2831</v>
      </c>
    </row>
    <row r="25" customFormat="false" ht="15" hidden="false" customHeight="false" outlineLevel="0" collapsed="false">
      <c r="A25" s="2" t="s">
        <v>2832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1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2" min="12" style="0" width="15"/>
  </cols>
  <sheetData>
    <row r="1" customFormat="false" ht="22.05" hidden="false" customHeight="false" outlineLevel="0" collapsed="false">
      <c r="A1" s="1" t="s">
        <v>2833</v>
      </c>
    </row>
    <row r="2" customFormat="false" ht="15" hidden="false" customHeight="false" outlineLevel="0" collapsed="false">
      <c r="A2" s="2" t="s">
        <v>2834</v>
      </c>
    </row>
    <row r="4" customFormat="false" ht="30" hidden="false" customHeight="true" outlineLevel="0" collapsed="false">
      <c r="A4" s="13" t="s">
        <v>39</v>
      </c>
      <c r="B4" s="13" t="s">
        <v>2835</v>
      </c>
      <c r="C4" s="13" t="s">
        <v>2836</v>
      </c>
      <c r="D4" s="13" t="s">
        <v>148</v>
      </c>
      <c r="E4" s="13" t="s">
        <v>2837</v>
      </c>
      <c r="F4" s="13" t="s">
        <v>2838</v>
      </c>
      <c r="G4" s="13" t="s">
        <v>2839</v>
      </c>
      <c r="H4" s="13" t="s">
        <v>16</v>
      </c>
      <c r="I4" s="13" t="s">
        <v>2840</v>
      </c>
      <c r="J4" s="13" t="s">
        <v>2841</v>
      </c>
      <c r="K4" s="13" t="s">
        <v>2842</v>
      </c>
      <c r="L4" s="13" t="s">
        <v>2843</v>
      </c>
    </row>
    <row r="5" customFormat="false" ht="15" hidden="false" customHeight="false" outlineLevel="0" collapsed="false">
      <c r="A5" s="14" t="s">
        <v>126</v>
      </c>
      <c r="B5" s="14" t="n">
        <f aca="false">COUNTIF(Prospectos!$H$5:$H$289,A5)</f>
        <v>17</v>
      </c>
      <c r="C5" s="14" t="n">
        <f aca="false">COUNTIFS(Prospectos!$H$5:$H$289,A5,Prospectos!$J$5:$J$289,"Sin sitio web")</f>
        <v>6</v>
      </c>
      <c r="D5" s="14" t="n">
        <f aca="false">COUNTIFS(Prospectos!$H$5:$H$289,A5,Prospectos!$J$5:$J$289,"Sitio obsoleto")</f>
        <v>2</v>
      </c>
      <c r="E5" s="14" t="n">
        <f aca="false">COUNTIFS(Prospectos!$H$5:$H$289,A5,Prospectos!$J$5:$J$289,"Presencia desordenada")</f>
        <v>0</v>
      </c>
      <c r="F5" s="14" t="n">
        <f aca="false">C5+D5+E5</f>
        <v>8</v>
      </c>
      <c r="G5" s="61" t="n">
        <f aca="false">IF(B5=0,0,F5/B5)</f>
        <v>0.470588235294118</v>
      </c>
      <c r="H5" s="14" t="n">
        <f aca="false">COUNTIFS(Prospectos!$H$5:$H$289,A5,Prospectos!$U$5:$U$289,"A")</f>
        <v>3</v>
      </c>
      <c r="I5" s="62" t="n">
        <v>4500</v>
      </c>
      <c r="J5" s="62" t="n">
        <v>1500</v>
      </c>
      <c r="K5" s="63" t="n">
        <f aca="false">F5*(I5+J5*12)</f>
        <v>180000</v>
      </c>
      <c r="L5" s="64" t="n">
        <v>76.4</v>
      </c>
    </row>
    <row r="6" customFormat="false" ht="15" hidden="false" customHeight="false" outlineLevel="0" collapsed="false">
      <c r="A6" s="14" t="s">
        <v>137</v>
      </c>
      <c r="B6" s="14" t="n">
        <f aca="false">COUNTIF(Prospectos!$H$5:$H$289,A6)</f>
        <v>13</v>
      </c>
      <c r="C6" s="14" t="n">
        <f aca="false">COUNTIFS(Prospectos!$H$5:$H$289,A6,Prospectos!$J$5:$J$289,"Sin sitio web")</f>
        <v>2</v>
      </c>
      <c r="D6" s="14" t="n">
        <f aca="false">COUNTIFS(Prospectos!$H$5:$H$289,A6,Prospectos!$J$5:$J$289,"Sitio obsoleto")</f>
        <v>2</v>
      </c>
      <c r="E6" s="14" t="n">
        <f aca="false">COUNTIFS(Prospectos!$H$5:$H$289,A6,Prospectos!$J$5:$J$289,"Presencia desordenada")</f>
        <v>0</v>
      </c>
      <c r="F6" s="14" t="n">
        <f aca="false">C6+D6+E6</f>
        <v>4</v>
      </c>
      <c r="G6" s="61" t="n">
        <f aca="false">IF(B6=0,0,F6/B6)</f>
        <v>0.307692307692308</v>
      </c>
      <c r="H6" s="14" t="n">
        <f aca="false">COUNTIFS(Prospectos!$H$5:$H$289,A6,Prospectos!$U$5:$U$289,"A")</f>
        <v>3</v>
      </c>
      <c r="I6" s="62" t="n">
        <v>5000</v>
      </c>
      <c r="J6" s="62" t="n">
        <v>1500</v>
      </c>
      <c r="K6" s="63" t="n">
        <f aca="false">F6*(I6+J6*12)</f>
        <v>92000</v>
      </c>
      <c r="L6" s="64" t="n">
        <v>103.54</v>
      </c>
    </row>
    <row r="7" customFormat="false" ht="15" hidden="false" customHeight="false" outlineLevel="0" collapsed="false">
      <c r="A7" s="14" t="s">
        <v>475</v>
      </c>
      <c r="B7" s="14" t="n">
        <f aca="false">COUNTIF(Prospectos!$H$5:$H$289,A7)</f>
        <v>15</v>
      </c>
      <c r="C7" s="14" t="n">
        <f aca="false">COUNTIFS(Prospectos!$H$5:$H$289,A7,Prospectos!$J$5:$J$289,"Sin sitio web")</f>
        <v>6</v>
      </c>
      <c r="D7" s="14" t="n">
        <f aca="false">COUNTIFS(Prospectos!$H$5:$H$289,A7,Prospectos!$J$5:$J$289,"Sitio obsoleto")</f>
        <v>1</v>
      </c>
      <c r="E7" s="14" t="n">
        <f aca="false">COUNTIFS(Prospectos!$H$5:$H$289,A7,Prospectos!$J$5:$J$289,"Presencia desordenada")</f>
        <v>4</v>
      </c>
      <c r="F7" s="14" t="n">
        <f aca="false">C7+D7+E7</f>
        <v>11</v>
      </c>
      <c r="G7" s="61" t="n">
        <f aca="false">IF(B7=0,0,F7/B7)</f>
        <v>0.733333333333333</v>
      </c>
      <c r="H7" s="14" t="n">
        <f aca="false">COUNTIFS(Prospectos!$H$5:$H$289,A7,Prospectos!$U$5:$U$289,"A")</f>
        <v>2</v>
      </c>
      <c r="I7" s="62" t="n">
        <v>4500</v>
      </c>
      <c r="J7" s="62" t="n">
        <v>1800</v>
      </c>
      <c r="K7" s="63" t="n">
        <f aca="false">F7*(I7+J7*12)</f>
        <v>287100</v>
      </c>
      <c r="L7" s="64" t="n">
        <v>56.83</v>
      </c>
    </row>
    <row r="8" customFormat="false" ht="15" hidden="false" customHeight="false" outlineLevel="0" collapsed="false">
      <c r="A8" s="14" t="s">
        <v>1005</v>
      </c>
      <c r="B8" s="14" t="n">
        <f aca="false">COUNTIF(Prospectos!$H$5:$H$289,A8)</f>
        <v>12</v>
      </c>
      <c r="C8" s="14" t="n">
        <f aca="false">COUNTIFS(Prospectos!$H$5:$H$289,A8,Prospectos!$J$5:$J$289,"Sin sitio web")</f>
        <v>1</v>
      </c>
      <c r="D8" s="14" t="n">
        <f aca="false">COUNTIFS(Prospectos!$H$5:$H$289,A8,Prospectos!$J$5:$J$289,"Sitio obsoleto")</f>
        <v>2</v>
      </c>
      <c r="E8" s="14" t="n">
        <f aca="false">COUNTIFS(Prospectos!$H$5:$H$289,A8,Prospectos!$J$5:$J$289,"Presencia desordenada")</f>
        <v>4</v>
      </c>
      <c r="F8" s="14" t="n">
        <f aca="false">C8+D8+E8</f>
        <v>7</v>
      </c>
      <c r="G8" s="61" t="n">
        <f aca="false">IF(B8=0,0,F8/B8)</f>
        <v>0.583333333333333</v>
      </c>
      <c r="H8" s="14" t="n">
        <f aca="false">COUNTIFS(Prospectos!$H$5:$H$289,A8,Prospectos!$U$5:$U$289,"A")</f>
        <v>3</v>
      </c>
      <c r="I8" s="62" t="n">
        <v>6000</v>
      </c>
      <c r="J8" s="62" t="n">
        <v>2000</v>
      </c>
      <c r="K8" s="63" t="n">
        <f aca="false">F8*(I8+J8*12)</f>
        <v>210000</v>
      </c>
      <c r="L8" s="64" t="n">
        <v>131.63</v>
      </c>
    </row>
    <row r="9" customFormat="false" ht="15" hidden="false" customHeight="false" outlineLevel="0" collapsed="false">
      <c r="A9" s="14" t="s">
        <v>114</v>
      </c>
      <c r="B9" s="14" t="n">
        <f aca="false">COUNTIF(Prospectos!$H$5:$H$289,A9)</f>
        <v>16</v>
      </c>
      <c r="C9" s="14" t="n">
        <f aca="false">COUNTIFS(Prospectos!$H$5:$H$289,A9,Prospectos!$J$5:$J$289,"Sin sitio web")</f>
        <v>2</v>
      </c>
      <c r="D9" s="14" t="n">
        <f aca="false">COUNTIFS(Prospectos!$H$5:$H$289,A9,Prospectos!$J$5:$J$289,"Sitio obsoleto")</f>
        <v>1</v>
      </c>
      <c r="E9" s="14" t="n">
        <f aca="false">COUNTIFS(Prospectos!$H$5:$H$289,A9,Prospectos!$J$5:$J$289,"Presencia desordenada")</f>
        <v>1</v>
      </c>
      <c r="F9" s="14" t="n">
        <f aca="false">C9+D9+E9</f>
        <v>4</v>
      </c>
      <c r="G9" s="61" t="n">
        <f aca="false">IF(B9=0,0,F9/B9)</f>
        <v>0.25</v>
      </c>
      <c r="H9" s="14" t="n">
        <f aca="false">COUNTIFS(Prospectos!$H$5:$H$289,A9,Prospectos!$U$5:$U$289,"A")</f>
        <v>1</v>
      </c>
      <c r="I9" s="62" t="n">
        <v>4000</v>
      </c>
      <c r="J9" s="62" t="n">
        <v>1200</v>
      </c>
      <c r="K9" s="63" t="n">
        <f aca="false">F9*(I9+J9*12)</f>
        <v>73600</v>
      </c>
      <c r="L9" s="64" t="n">
        <v>103.54</v>
      </c>
    </row>
    <row r="10" customFormat="false" ht="15" hidden="false" customHeight="false" outlineLevel="0" collapsed="false">
      <c r="A10" s="14" t="s">
        <v>71</v>
      </c>
      <c r="B10" s="14" t="n">
        <f aca="false">COUNTIF(Prospectos!$H$5:$H$289,A10)</f>
        <v>17</v>
      </c>
      <c r="C10" s="14" t="n">
        <f aca="false">COUNTIFS(Prospectos!$H$5:$H$289,A10,Prospectos!$J$5:$J$289,"Sin sitio web")</f>
        <v>3</v>
      </c>
      <c r="D10" s="14" t="n">
        <f aca="false">COUNTIFS(Prospectos!$H$5:$H$289,A10,Prospectos!$J$5:$J$289,"Sitio obsoleto")</f>
        <v>2</v>
      </c>
      <c r="E10" s="14" t="n">
        <f aca="false">COUNTIFS(Prospectos!$H$5:$H$289,A10,Prospectos!$J$5:$J$289,"Presencia desordenada")</f>
        <v>2</v>
      </c>
      <c r="F10" s="14" t="n">
        <f aca="false">C10+D10+E10</f>
        <v>7</v>
      </c>
      <c r="G10" s="61" t="n">
        <f aca="false">IF(B10=0,0,F10/B10)</f>
        <v>0.411764705882353</v>
      </c>
      <c r="H10" s="14" t="n">
        <f aca="false">COUNTIFS(Prospectos!$H$5:$H$289,A10,Prospectos!$U$5:$U$289,"A")</f>
        <v>2</v>
      </c>
      <c r="I10" s="62" t="n">
        <v>4000</v>
      </c>
      <c r="J10" s="62" t="n">
        <v>1200</v>
      </c>
      <c r="K10" s="63" t="n">
        <f aca="false">F10*(I10+J10*12)</f>
        <v>128800</v>
      </c>
      <c r="L10" s="64" t="n">
        <v>103.54</v>
      </c>
    </row>
    <row r="11" customFormat="false" ht="15" hidden="false" customHeight="false" outlineLevel="0" collapsed="false">
      <c r="A11" s="14" t="s">
        <v>909</v>
      </c>
      <c r="B11" s="14" t="n">
        <f aca="false">COUNTIF(Prospectos!$H$5:$H$289,A11)</f>
        <v>5</v>
      </c>
      <c r="C11" s="14" t="n">
        <f aca="false">COUNTIFS(Prospectos!$H$5:$H$289,A11,Prospectos!$J$5:$J$289,"Sin sitio web")</f>
        <v>2</v>
      </c>
      <c r="D11" s="14" t="n">
        <f aca="false">COUNTIFS(Prospectos!$H$5:$H$289,A11,Prospectos!$J$5:$J$289,"Sitio obsoleto")</f>
        <v>0</v>
      </c>
      <c r="E11" s="14" t="n">
        <f aca="false">COUNTIFS(Prospectos!$H$5:$H$289,A11,Prospectos!$J$5:$J$289,"Presencia desordenada")</f>
        <v>0</v>
      </c>
      <c r="F11" s="14" t="n">
        <f aca="false">C11+D11+E11</f>
        <v>2</v>
      </c>
      <c r="G11" s="61" t="n">
        <f aca="false">IF(B11=0,0,F11/B11)</f>
        <v>0.4</v>
      </c>
      <c r="H11" s="14" t="n">
        <f aca="false">COUNTIFS(Prospectos!$H$5:$H$289,A11,Prospectos!$U$5:$U$289,"A")</f>
        <v>1</v>
      </c>
      <c r="I11" s="62" t="n">
        <v>3500</v>
      </c>
      <c r="J11" s="62" t="n">
        <v>1200</v>
      </c>
      <c r="K11" s="63" t="n">
        <f aca="false">F11*(I11+J11*12)</f>
        <v>35800</v>
      </c>
      <c r="L11" s="64" t="n">
        <v>100.48</v>
      </c>
    </row>
    <row r="12" customFormat="false" ht="15" hidden="false" customHeight="false" outlineLevel="0" collapsed="false">
      <c r="A12" s="14" t="s">
        <v>225</v>
      </c>
      <c r="B12" s="14" t="n">
        <f aca="false">COUNTIF(Prospectos!$H$5:$H$289,A12)</f>
        <v>62</v>
      </c>
      <c r="C12" s="14" t="n">
        <f aca="false">COUNTIFS(Prospectos!$H$5:$H$289,A12,Prospectos!$J$5:$J$289,"Sin sitio web")</f>
        <v>24</v>
      </c>
      <c r="D12" s="14" t="n">
        <f aca="false">COUNTIFS(Prospectos!$H$5:$H$289,A12,Prospectos!$J$5:$J$289,"Sitio obsoleto")</f>
        <v>6</v>
      </c>
      <c r="E12" s="14" t="n">
        <f aca="false">COUNTIFS(Prospectos!$H$5:$H$289,A12,Prospectos!$J$5:$J$289,"Presencia desordenada")</f>
        <v>13</v>
      </c>
      <c r="F12" s="14" t="n">
        <f aca="false">C12+D12+E12</f>
        <v>43</v>
      </c>
      <c r="G12" s="61" t="n">
        <f aca="false">IF(B12=0,0,F12/B12)</f>
        <v>0.693548387096774</v>
      </c>
      <c r="H12" s="14" t="n">
        <f aca="false">COUNTIFS(Prospectos!$H$5:$H$289,A12,Prospectos!$U$5:$U$289,"A")</f>
        <v>10</v>
      </c>
      <c r="I12" s="62" t="n">
        <v>3000</v>
      </c>
      <c r="J12" s="62" t="n">
        <v>1000</v>
      </c>
      <c r="K12" s="63" t="n">
        <f aca="false">F12*(I12+J12*12)</f>
        <v>645000</v>
      </c>
      <c r="L12" s="64" t="n">
        <v>28.5</v>
      </c>
    </row>
    <row r="13" customFormat="false" ht="15" hidden="false" customHeight="false" outlineLevel="0" collapsed="false">
      <c r="A13" s="14" t="s">
        <v>539</v>
      </c>
      <c r="B13" s="14" t="n">
        <f aca="false">COUNTIF(Prospectos!$H$5:$H$289,A13)</f>
        <v>19</v>
      </c>
      <c r="C13" s="14" t="n">
        <f aca="false">COUNTIFS(Prospectos!$H$5:$H$289,A13,Prospectos!$J$5:$J$289,"Sin sitio web")</f>
        <v>6</v>
      </c>
      <c r="D13" s="14" t="n">
        <f aca="false">COUNTIFS(Prospectos!$H$5:$H$289,A13,Prospectos!$J$5:$J$289,"Sitio obsoleto")</f>
        <v>2</v>
      </c>
      <c r="E13" s="14" t="n">
        <f aca="false">COUNTIFS(Prospectos!$H$5:$H$289,A13,Prospectos!$J$5:$J$289,"Presencia desordenada")</f>
        <v>3</v>
      </c>
      <c r="F13" s="14" t="n">
        <f aca="false">C13+D13+E13</f>
        <v>11</v>
      </c>
      <c r="G13" s="61" t="n">
        <f aca="false">IF(B13=0,0,F13/B13)</f>
        <v>0.578947368421053</v>
      </c>
      <c r="H13" s="14" t="n">
        <f aca="false">COUNTIFS(Prospectos!$H$5:$H$289,A13,Prospectos!$U$5:$U$289,"A")</f>
        <v>0</v>
      </c>
      <c r="I13" s="62" t="n">
        <v>2500</v>
      </c>
      <c r="J13" s="62" t="n">
        <v>800</v>
      </c>
      <c r="K13" s="63" t="n">
        <f aca="false">F13*(I13+J13*12)</f>
        <v>133100</v>
      </c>
      <c r="L13" s="64" t="n">
        <v>30.27</v>
      </c>
    </row>
    <row r="14" customFormat="false" ht="15" hidden="false" customHeight="false" outlineLevel="0" collapsed="false">
      <c r="A14" s="14" t="s">
        <v>607</v>
      </c>
      <c r="B14" s="14" t="n">
        <f aca="false">COUNTIF(Prospectos!$H$5:$H$289,A14)</f>
        <v>6</v>
      </c>
      <c r="C14" s="14" t="n">
        <f aca="false">COUNTIFS(Prospectos!$H$5:$H$289,A14,Prospectos!$J$5:$J$289,"Sin sitio web")</f>
        <v>2</v>
      </c>
      <c r="D14" s="14" t="n">
        <f aca="false">COUNTIFS(Prospectos!$H$5:$H$289,A14,Prospectos!$J$5:$J$289,"Sitio obsoleto")</f>
        <v>0</v>
      </c>
      <c r="E14" s="14" t="n">
        <f aca="false">COUNTIFS(Prospectos!$H$5:$H$289,A14,Prospectos!$J$5:$J$289,"Presencia desordenada")</f>
        <v>0</v>
      </c>
      <c r="F14" s="14" t="n">
        <f aca="false">C14+D14+E14</f>
        <v>2</v>
      </c>
      <c r="G14" s="61" t="n">
        <f aca="false">IF(B14=0,0,F14/B14)</f>
        <v>0.333333333333333</v>
      </c>
      <c r="H14" s="14" t="n">
        <f aca="false">COUNTIFS(Prospectos!$H$5:$H$289,A14,Prospectos!$U$5:$U$289,"A")</f>
        <v>0</v>
      </c>
      <c r="I14" s="62" t="n">
        <v>3000</v>
      </c>
      <c r="J14" s="62" t="n">
        <v>800</v>
      </c>
      <c r="K14" s="63" t="n">
        <f aca="false">F14*(I14+J14*12)</f>
        <v>25200</v>
      </c>
      <c r="L14" s="64" t="n">
        <v>70.11</v>
      </c>
    </row>
    <row r="15" customFormat="false" ht="15" hidden="false" customHeight="false" outlineLevel="0" collapsed="false">
      <c r="A15" s="14" t="s">
        <v>1629</v>
      </c>
      <c r="B15" s="14" t="n">
        <f aca="false">COUNTIF(Prospectos!$H$5:$H$289,A15)</f>
        <v>58</v>
      </c>
      <c r="C15" s="14" t="n">
        <f aca="false">COUNTIFS(Prospectos!$H$5:$H$289,A15,Prospectos!$J$5:$J$289,"Sin sitio web")</f>
        <v>9</v>
      </c>
      <c r="D15" s="14" t="n">
        <f aca="false">COUNTIFS(Prospectos!$H$5:$H$289,A15,Prospectos!$J$5:$J$289,"Sitio obsoleto")</f>
        <v>8</v>
      </c>
      <c r="E15" s="14" t="n">
        <f aca="false">COUNTIFS(Prospectos!$H$5:$H$289,A15,Prospectos!$J$5:$J$289,"Presencia desordenada")</f>
        <v>16</v>
      </c>
      <c r="F15" s="14" t="n">
        <f aca="false">C15+D15+E15</f>
        <v>33</v>
      </c>
      <c r="G15" s="61" t="n">
        <f aca="false">IF(B15=0,0,F15/B15)</f>
        <v>0.568965517241379</v>
      </c>
      <c r="H15" s="14" t="n">
        <f aca="false">COUNTIFS(Prospectos!$H$5:$H$289,A15,Prospectos!$U$5:$U$289,"A")</f>
        <v>6</v>
      </c>
      <c r="I15" s="62" t="n">
        <v>3000</v>
      </c>
      <c r="J15" s="62" t="n">
        <v>900</v>
      </c>
      <c r="K15" s="63" t="n">
        <f aca="false">F15*(I15+J15*12)</f>
        <v>455400</v>
      </c>
      <c r="L15" s="64" t="n">
        <v>70.11</v>
      </c>
    </row>
    <row r="16" customFormat="false" ht="15" hidden="false" customHeight="false" outlineLevel="0" collapsed="false">
      <c r="A16" s="14" t="s">
        <v>1201</v>
      </c>
      <c r="B16" s="14" t="n">
        <f aca="false">COUNTIF(Prospectos!$H$5:$H$289,A16)</f>
        <v>11</v>
      </c>
      <c r="C16" s="14" t="n">
        <f aca="false">COUNTIFS(Prospectos!$H$5:$H$289,A16,Prospectos!$J$5:$J$289,"Sin sitio web")</f>
        <v>4</v>
      </c>
      <c r="D16" s="14" t="n">
        <f aca="false">COUNTIFS(Prospectos!$H$5:$H$289,A16,Prospectos!$J$5:$J$289,"Sitio obsoleto")</f>
        <v>0</v>
      </c>
      <c r="E16" s="14" t="n">
        <f aca="false">COUNTIFS(Prospectos!$H$5:$H$289,A16,Prospectos!$J$5:$J$289,"Presencia desordenada")</f>
        <v>7</v>
      </c>
      <c r="F16" s="14" t="n">
        <f aca="false">C16+D16+E16</f>
        <v>11</v>
      </c>
      <c r="G16" s="61" t="n">
        <f aca="false">IF(B16=0,0,F16/B16)</f>
        <v>1</v>
      </c>
      <c r="H16" s="14" t="n">
        <f aca="false">COUNTIFS(Prospectos!$H$5:$H$289,A16,Prospectos!$U$5:$U$289,"A")</f>
        <v>5</v>
      </c>
      <c r="I16" s="62" t="n">
        <v>4500</v>
      </c>
      <c r="J16" s="62" t="n">
        <v>1500</v>
      </c>
      <c r="K16" s="63" t="n">
        <f aca="false">F16*(I16+J16*12)</f>
        <v>247500</v>
      </c>
      <c r="L16" s="64" t="n">
        <v>70.11</v>
      </c>
    </row>
    <row r="17" customFormat="false" ht="15" hidden="false" customHeight="false" outlineLevel="0" collapsed="false">
      <c r="A17" s="14" t="s">
        <v>1737</v>
      </c>
      <c r="B17" s="14" t="n">
        <f aca="false">COUNTIF(Prospectos!$H$5:$H$289,A17)</f>
        <v>10</v>
      </c>
      <c r="C17" s="14" t="n">
        <f aca="false">COUNTIFS(Prospectos!$H$5:$H$289,A17,Prospectos!$J$5:$J$289,"Sin sitio web")</f>
        <v>5</v>
      </c>
      <c r="D17" s="14" t="n">
        <f aca="false">COUNTIFS(Prospectos!$H$5:$H$289,A17,Prospectos!$J$5:$J$289,"Sitio obsoleto")</f>
        <v>0</v>
      </c>
      <c r="E17" s="14" t="n">
        <f aca="false">COUNTIFS(Prospectos!$H$5:$H$289,A17,Prospectos!$J$5:$J$289,"Presencia desordenada")</f>
        <v>2</v>
      </c>
      <c r="F17" s="14" t="n">
        <f aca="false">C17+D17+E17</f>
        <v>7</v>
      </c>
      <c r="G17" s="61" t="n">
        <f aca="false">IF(B17=0,0,F17/B17)</f>
        <v>0.7</v>
      </c>
      <c r="H17" s="14" t="n">
        <f aca="false">COUNTIFS(Prospectos!$H$5:$H$289,A17,Prospectos!$U$5:$U$289,"A")</f>
        <v>1</v>
      </c>
      <c r="I17" s="62" t="n">
        <v>3500</v>
      </c>
      <c r="J17" s="62" t="n">
        <v>1000</v>
      </c>
      <c r="K17" s="63" t="n">
        <f aca="false">F17*(I17+J17*12)</f>
        <v>108500</v>
      </c>
      <c r="L17" s="64" t="n">
        <v>90.92</v>
      </c>
    </row>
    <row r="18" customFormat="false" ht="15" hidden="false" customHeight="false" outlineLevel="0" collapsed="false">
      <c r="A18" s="14" t="s">
        <v>1791</v>
      </c>
      <c r="B18" s="14" t="n">
        <f aca="false">COUNTIF(Prospectos!$H$5:$H$289,A18)</f>
        <v>10</v>
      </c>
      <c r="C18" s="14" t="n">
        <f aca="false">COUNTIFS(Prospectos!$H$5:$H$289,A18,Prospectos!$J$5:$J$289,"Sin sitio web")</f>
        <v>3</v>
      </c>
      <c r="D18" s="14" t="n">
        <f aca="false">COUNTIFS(Prospectos!$H$5:$H$289,A18,Prospectos!$J$5:$J$289,"Sitio obsoleto")</f>
        <v>1</v>
      </c>
      <c r="E18" s="14" t="n">
        <f aca="false">COUNTIFS(Prospectos!$H$5:$H$289,A18,Prospectos!$J$5:$J$289,"Presencia desordenada")</f>
        <v>0</v>
      </c>
      <c r="F18" s="14" t="n">
        <f aca="false">C18+D18+E18</f>
        <v>4</v>
      </c>
      <c r="G18" s="61" t="n">
        <f aca="false">IF(B18=0,0,F18/B18)</f>
        <v>0.4</v>
      </c>
      <c r="H18" s="14" t="n">
        <f aca="false">COUNTIFS(Prospectos!$H$5:$H$289,A18,Prospectos!$U$5:$U$289,"A")</f>
        <v>1</v>
      </c>
      <c r="I18" s="62" t="n">
        <v>3500</v>
      </c>
      <c r="J18" s="62" t="n">
        <v>1000</v>
      </c>
      <c r="K18" s="63" t="n">
        <f aca="false">F18*(I18+J18*12)</f>
        <v>62000</v>
      </c>
      <c r="L18" s="64" t="n">
        <v>70.11</v>
      </c>
    </row>
    <row r="19" customFormat="false" ht="15" hidden="false" customHeight="false" outlineLevel="0" collapsed="false">
      <c r="A19" s="14" t="s">
        <v>1345</v>
      </c>
      <c r="B19" s="14" t="n">
        <f aca="false">COUNTIF(Prospectos!$H$5:$H$289,A19)</f>
        <v>12</v>
      </c>
      <c r="C19" s="14" t="n">
        <f aca="false">COUNTIFS(Prospectos!$H$5:$H$289,A19,Prospectos!$J$5:$J$289,"Sin sitio web")</f>
        <v>4</v>
      </c>
      <c r="D19" s="14" t="n">
        <f aca="false">COUNTIFS(Prospectos!$H$5:$H$289,A19,Prospectos!$J$5:$J$289,"Sitio obsoleto")</f>
        <v>0</v>
      </c>
      <c r="E19" s="14" t="n">
        <f aca="false">COUNTIFS(Prospectos!$H$5:$H$289,A19,Prospectos!$J$5:$J$289,"Presencia desordenada")</f>
        <v>3</v>
      </c>
      <c r="F19" s="14" t="n">
        <f aca="false">C19+D19+E19</f>
        <v>7</v>
      </c>
      <c r="G19" s="61" t="n">
        <f aca="false">IF(B19=0,0,F19/B19)</f>
        <v>0.583333333333333</v>
      </c>
      <c r="H19" s="14" t="n">
        <f aca="false">COUNTIFS(Prospectos!$H$5:$H$289,A19,Prospectos!$U$5:$U$289,"A")</f>
        <v>0</v>
      </c>
      <c r="I19" s="62" t="n">
        <v>3000</v>
      </c>
      <c r="J19" s="62" t="n">
        <v>900</v>
      </c>
      <c r="K19" s="63" t="n">
        <f aca="false">F19*(I19+J19*12)</f>
        <v>96600</v>
      </c>
      <c r="L19" s="64" t="n">
        <v>70.11</v>
      </c>
    </row>
    <row r="20" customFormat="false" ht="15" hidden="false" customHeight="false" outlineLevel="0" collapsed="false">
      <c r="A20" s="14" t="s">
        <v>2500</v>
      </c>
      <c r="B20" s="14" t="n">
        <f aca="false">COUNTIF(Prospectos!$H$5:$H$289,A20)</f>
        <v>2</v>
      </c>
      <c r="C20" s="14" t="n">
        <f aca="false">COUNTIFS(Prospectos!$H$5:$H$289,A20,Prospectos!$J$5:$J$289,"Sin sitio web")</f>
        <v>0</v>
      </c>
      <c r="D20" s="14" t="n">
        <f aca="false">COUNTIFS(Prospectos!$H$5:$H$289,A20,Prospectos!$J$5:$J$289,"Sitio obsoleto")</f>
        <v>0</v>
      </c>
      <c r="E20" s="14" t="n">
        <f aca="false">COUNTIFS(Prospectos!$H$5:$H$289,A20,Prospectos!$J$5:$J$289,"Presencia desordenada")</f>
        <v>1</v>
      </c>
      <c r="F20" s="14" t="n">
        <f aca="false">C20+D20+E20</f>
        <v>1</v>
      </c>
      <c r="G20" s="61" t="n">
        <f aca="false">IF(B20=0,0,F20/B20)</f>
        <v>0.5</v>
      </c>
      <c r="H20" s="14" t="n">
        <f aca="false">COUNTIFS(Prospectos!$H$5:$H$289,A20,Prospectos!$U$5:$U$289,"A")</f>
        <v>0</v>
      </c>
      <c r="I20" s="62" t="n">
        <v>4000</v>
      </c>
      <c r="J20" s="62" t="n">
        <v>1200</v>
      </c>
      <c r="K20" s="63" t="n">
        <f aca="false">F20*(I20+J20*12)</f>
        <v>18400</v>
      </c>
      <c r="L20" s="64" t="n">
        <v>70.11</v>
      </c>
    </row>
    <row r="21" customFormat="false" ht="15" hidden="false" customHeight="false" outlineLevel="0" collapsed="false">
      <c r="A21" s="65" t="s">
        <v>2844</v>
      </c>
      <c r="B21" s="65" t="n">
        <f aca="false">SUM(B5:B20)</f>
        <v>285</v>
      </c>
      <c r="C21" s="65" t="n">
        <f aca="false">SUM(C5:C20)</f>
        <v>79</v>
      </c>
      <c r="D21" s="65" t="n">
        <f aca="false">SUM(D5:D20)</f>
        <v>27</v>
      </c>
      <c r="E21" s="65" t="n">
        <f aca="false">SUM(E5:E20)</f>
        <v>56</v>
      </c>
      <c r="F21" s="65" t="n">
        <f aca="false">SUM(F5:F20)</f>
        <v>162</v>
      </c>
      <c r="G21" s="66" t="n">
        <f aca="false">IF(B21=0,0,F21/B21)</f>
        <v>0.568421052631579</v>
      </c>
      <c r="H21" s="65" t="n">
        <f aca="false">SUM(H5:H20)</f>
        <v>38</v>
      </c>
      <c r="I21" s="65"/>
      <c r="J21" s="65"/>
      <c r="K21" s="67" t="n">
        <f aca="false">SUM(K5:K20)</f>
        <v>2799000</v>
      </c>
      <c r="L21" s="65"/>
    </row>
    <row r="23" customFormat="false" ht="15" hidden="false" customHeight="false" outlineLevel="0" collapsed="false">
      <c r="A23" s="2" t="s">
        <v>2845</v>
      </c>
    </row>
    <row r="24" customFormat="false" ht="15" hidden="false" customHeight="false" outlineLevel="0" collapsed="false">
      <c r="A24" s="2" t="s">
        <v>2846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52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48"/>
  </cols>
  <sheetData>
    <row r="1" customFormat="false" ht="22.05" hidden="false" customHeight="false" outlineLevel="0" collapsed="false">
      <c r="A1" s="1" t="s">
        <v>2847</v>
      </c>
    </row>
    <row r="2" customFormat="false" ht="15" hidden="false" customHeight="false" outlineLevel="0" collapsed="false">
      <c r="A2" s="2" t="s">
        <v>2848</v>
      </c>
    </row>
    <row r="4" customFormat="false" ht="30" hidden="false" customHeight="true" outlineLevel="0" collapsed="false">
      <c r="A4" s="13" t="s">
        <v>2849</v>
      </c>
      <c r="B4" s="13" t="s">
        <v>36</v>
      </c>
      <c r="C4" s="13" t="s">
        <v>2850</v>
      </c>
      <c r="D4" s="13" t="s">
        <v>2851</v>
      </c>
      <c r="E4" s="13" t="s">
        <v>2852</v>
      </c>
      <c r="F4" s="13" t="s">
        <v>2853</v>
      </c>
      <c r="G4" s="13" t="s">
        <v>2854</v>
      </c>
      <c r="H4" s="13" t="s">
        <v>2855</v>
      </c>
      <c r="I4" s="13" t="s">
        <v>45</v>
      </c>
    </row>
    <row r="5" customFormat="false" ht="15" hidden="false" customHeight="false" outlineLevel="0" collapsed="false">
      <c r="A5" s="14" t="s">
        <v>494</v>
      </c>
      <c r="B5" s="14" t="s">
        <v>6</v>
      </c>
      <c r="C5" s="68" t="n">
        <v>455924</v>
      </c>
      <c r="D5" s="14" t="s">
        <v>2856</v>
      </c>
      <c r="E5" s="68" t="n">
        <v>17986</v>
      </c>
      <c r="F5" s="14" t="s">
        <v>2857</v>
      </c>
      <c r="G5" s="14" t="s">
        <v>2858</v>
      </c>
      <c r="H5" s="14" t="s">
        <v>91</v>
      </c>
      <c r="I5" s="16" t="s">
        <v>2859</v>
      </c>
    </row>
    <row r="6" customFormat="false" ht="15" hidden="false" customHeight="false" outlineLevel="0" collapsed="false">
      <c r="A6" s="14" t="s">
        <v>68</v>
      </c>
      <c r="B6" s="14" t="s">
        <v>6</v>
      </c>
      <c r="C6" s="68" t="n">
        <v>226000</v>
      </c>
      <c r="D6" s="14" t="s">
        <v>2860</v>
      </c>
      <c r="E6" s="68"/>
      <c r="F6" s="14" t="s">
        <v>2861</v>
      </c>
      <c r="G6" s="14" t="s">
        <v>2862</v>
      </c>
      <c r="H6" s="14" t="s">
        <v>2863</v>
      </c>
      <c r="I6" s="16" t="s">
        <v>2864</v>
      </c>
    </row>
    <row r="7" customFormat="false" ht="15" hidden="false" customHeight="false" outlineLevel="0" collapsed="false">
      <c r="A7" s="14" t="s">
        <v>420</v>
      </c>
      <c r="B7" s="14" t="s">
        <v>6</v>
      </c>
      <c r="C7" s="68" t="n">
        <v>83625</v>
      </c>
      <c r="D7" s="14" t="s">
        <v>2860</v>
      </c>
      <c r="E7" s="68" t="n">
        <v>5300</v>
      </c>
      <c r="F7" s="14" t="s">
        <v>2865</v>
      </c>
      <c r="G7" s="14" t="s">
        <v>2866</v>
      </c>
      <c r="H7" s="14" t="s">
        <v>2863</v>
      </c>
      <c r="I7" s="16" t="s">
        <v>2867</v>
      </c>
    </row>
    <row r="8" customFormat="false" ht="15" hidden="false" customHeight="false" outlineLevel="0" collapsed="false">
      <c r="A8" s="14" t="s">
        <v>86</v>
      </c>
      <c r="B8" s="14" t="s">
        <v>6</v>
      </c>
      <c r="C8" s="68" t="n">
        <v>1056</v>
      </c>
      <c r="D8" s="14" t="s">
        <v>2868</v>
      </c>
      <c r="E8" s="68" t="n">
        <v>1800</v>
      </c>
      <c r="F8" s="14" t="s">
        <v>2869</v>
      </c>
      <c r="G8" s="14" t="s">
        <v>2870</v>
      </c>
      <c r="H8" s="14" t="s">
        <v>2871</v>
      </c>
      <c r="I8" s="16" t="s">
        <v>2872</v>
      </c>
    </row>
    <row r="9" customFormat="false" ht="15" hidden="false" customHeight="false" outlineLevel="0" collapsed="false">
      <c r="A9" s="14" t="s">
        <v>658</v>
      </c>
      <c r="B9" s="14" t="s">
        <v>6</v>
      </c>
      <c r="C9" s="68" t="n">
        <v>82031</v>
      </c>
      <c r="D9" s="14" t="s">
        <v>2860</v>
      </c>
      <c r="E9" s="68" t="n">
        <v>4174</v>
      </c>
      <c r="F9" s="14" t="s">
        <v>2873</v>
      </c>
      <c r="G9" s="14" t="s">
        <v>2874</v>
      </c>
      <c r="H9" s="14" t="s">
        <v>91</v>
      </c>
      <c r="I9" s="16" t="s">
        <v>2875</v>
      </c>
    </row>
    <row r="10" customFormat="false" ht="15" hidden="false" customHeight="false" outlineLevel="0" collapsed="false">
      <c r="A10" s="14" t="s">
        <v>1052</v>
      </c>
      <c r="B10" s="14" t="s">
        <v>6</v>
      </c>
      <c r="C10" s="68" t="n">
        <v>48353</v>
      </c>
      <c r="D10" s="14" t="s">
        <v>2856</v>
      </c>
      <c r="E10" s="68" t="n">
        <v>5120</v>
      </c>
      <c r="F10" s="14" t="s">
        <v>2876</v>
      </c>
      <c r="G10" s="14" t="s">
        <v>2877</v>
      </c>
      <c r="H10" s="14" t="s">
        <v>91</v>
      </c>
      <c r="I10" s="16" t="s">
        <v>2878</v>
      </c>
    </row>
    <row r="11" customFormat="false" ht="15" hidden="false" customHeight="false" outlineLevel="0" collapsed="false">
      <c r="A11" s="14" t="s">
        <v>563</v>
      </c>
      <c r="B11" s="14" t="s">
        <v>6</v>
      </c>
      <c r="C11" s="68" t="n">
        <v>80241</v>
      </c>
      <c r="D11" s="14" t="s">
        <v>2868</v>
      </c>
      <c r="E11" s="68"/>
      <c r="F11" s="14" t="s">
        <v>2879</v>
      </c>
      <c r="G11" s="14" t="s">
        <v>2880</v>
      </c>
      <c r="H11" s="14" t="s">
        <v>2881</v>
      </c>
      <c r="I11" s="16" t="s">
        <v>2882</v>
      </c>
    </row>
    <row r="12" customFormat="false" ht="15" hidden="false" customHeight="false" outlineLevel="0" collapsed="false">
      <c r="A12" s="14" t="s">
        <v>1876</v>
      </c>
      <c r="B12" s="14" t="s">
        <v>6</v>
      </c>
      <c r="C12" s="68" t="n">
        <v>111000</v>
      </c>
      <c r="D12" s="14" t="s">
        <v>2860</v>
      </c>
      <c r="E12" s="68"/>
      <c r="F12" s="14" t="s">
        <v>2883</v>
      </c>
      <c r="G12" s="14" t="s">
        <v>2884</v>
      </c>
      <c r="H12" s="14" t="s">
        <v>2863</v>
      </c>
      <c r="I12" s="16" t="s">
        <v>2885</v>
      </c>
    </row>
    <row r="13" customFormat="false" ht="15" hidden="false" customHeight="false" outlineLevel="0" collapsed="false">
      <c r="A13" s="14" t="s">
        <v>123</v>
      </c>
      <c r="B13" s="14" t="s">
        <v>6</v>
      </c>
      <c r="C13" s="68" t="n">
        <v>82807</v>
      </c>
      <c r="D13" s="14" t="s">
        <v>2860</v>
      </c>
      <c r="E13" s="68" t="n">
        <v>1212</v>
      </c>
      <c r="F13" s="14" t="s">
        <v>2886</v>
      </c>
      <c r="G13" s="14" t="s">
        <v>2887</v>
      </c>
      <c r="H13" s="14" t="s">
        <v>91</v>
      </c>
      <c r="I13" s="16" t="s">
        <v>2888</v>
      </c>
    </row>
    <row r="14" customFormat="false" ht="15" hidden="false" customHeight="false" outlineLevel="0" collapsed="false">
      <c r="A14" s="14" t="s">
        <v>670</v>
      </c>
      <c r="B14" s="14" t="s">
        <v>9</v>
      </c>
      <c r="C14" s="68" t="n">
        <v>184255</v>
      </c>
      <c r="D14" s="14" t="s">
        <v>2856</v>
      </c>
      <c r="E14" s="68" t="n">
        <v>10690</v>
      </c>
      <c r="F14" s="14" t="s">
        <v>2889</v>
      </c>
      <c r="G14" s="14" t="s">
        <v>2890</v>
      </c>
      <c r="H14" s="14" t="s">
        <v>91</v>
      </c>
      <c r="I14" s="16" t="s">
        <v>2891</v>
      </c>
    </row>
    <row r="15" customFormat="false" ht="15" hidden="false" customHeight="false" outlineLevel="0" collapsed="false">
      <c r="A15" s="14" t="s">
        <v>1025</v>
      </c>
      <c r="B15" s="14" t="s">
        <v>9</v>
      </c>
      <c r="C15" s="68" t="n">
        <v>152650</v>
      </c>
      <c r="D15" s="14" t="s">
        <v>2892</v>
      </c>
      <c r="E15" s="68" t="n">
        <v>5007</v>
      </c>
      <c r="F15" s="14" t="s">
        <v>2893</v>
      </c>
      <c r="G15" s="14" t="s">
        <v>2894</v>
      </c>
      <c r="H15" s="14" t="s">
        <v>91</v>
      </c>
      <c r="I15" s="16" t="s">
        <v>2895</v>
      </c>
    </row>
    <row r="16" customFormat="false" ht="15" hidden="false" customHeight="false" outlineLevel="0" collapsed="false">
      <c r="A16" s="14" t="s">
        <v>1827</v>
      </c>
      <c r="B16" s="14" t="s">
        <v>9</v>
      </c>
      <c r="C16" s="68" t="n">
        <v>179326</v>
      </c>
      <c r="D16" s="14" t="s">
        <v>2860</v>
      </c>
      <c r="E16" s="68" t="n">
        <v>4128</v>
      </c>
      <c r="F16" s="14" t="s">
        <v>2896</v>
      </c>
      <c r="G16" s="14" t="s">
        <v>2897</v>
      </c>
      <c r="H16" s="14" t="s">
        <v>91</v>
      </c>
      <c r="I16" s="16" t="s">
        <v>2898</v>
      </c>
    </row>
    <row r="17" customFormat="false" ht="15" hidden="false" customHeight="false" outlineLevel="0" collapsed="false">
      <c r="A17" s="14" t="s">
        <v>906</v>
      </c>
      <c r="B17" s="14" t="s">
        <v>9</v>
      </c>
      <c r="C17" s="68" t="n">
        <v>100128</v>
      </c>
      <c r="D17" s="14" t="s">
        <v>2860</v>
      </c>
      <c r="E17" s="68" t="n">
        <v>2706</v>
      </c>
      <c r="F17" s="14" t="s">
        <v>2899</v>
      </c>
      <c r="G17" s="14" t="s">
        <v>2900</v>
      </c>
      <c r="H17" s="14" t="s">
        <v>91</v>
      </c>
      <c r="I17" s="16" t="s">
        <v>2901</v>
      </c>
    </row>
    <row r="18" customFormat="false" ht="15" hidden="false" customHeight="false" outlineLevel="0" collapsed="false">
      <c r="A18" s="14" t="s">
        <v>1155</v>
      </c>
      <c r="B18" s="14" t="s">
        <v>9</v>
      </c>
      <c r="C18" s="68" t="n">
        <v>96000</v>
      </c>
      <c r="D18" s="14" t="s">
        <v>2860</v>
      </c>
      <c r="E18" s="68"/>
      <c r="F18" s="14" t="s">
        <v>2902</v>
      </c>
      <c r="G18" s="14" t="s">
        <v>2903</v>
      </c>
      <c r="H18" s="14" t="s">
        <v>2863</v>
      </c>
      <c r="I18" s="16" t="s">
        <v>2904</v>
      </c>
    </row>
    <row r="20" customFormat="false" ht="15" hidden="false" customHeight="false" outlineLevel="0" collapsed="false">
      <c r="A20" s="3" t="s">
        <v>2905</v>
      </c>
    </row>
    <row r="21" customFormat="false" ht="30" hidden="false" customHeight="true" outlineLevel="0" collapsed="false">
      <c r="A21" s="13" t="s">
        <v>36</v>
      </c>
      <c r="B21" s="13" t="s">
        <v>2850</v>
      </c>
      <c r="C21" s="13" t="s">
        <v>2906</v>
      </c>
      <c r="D21" s="13" t="s">
        <v>2851</v>
      </c>
      <c r="E21" s="13" t="s">
        <v>2907</v>
      </c>
      <c r="F21" s="13" t="s">
        <v>2908</v>
      </c>
      <c r="G21" s="13" t="s">
        <v>2909</v>
      </c>
      <c r="H21" s="13" t="s">
        <v>2910</v>
      </c>
      <c r="I21" s="13" t="s">
        <v>45</v>
      </c>
    </row>
    <row r="22" customFormat="false" ht="15" hidden="false" customHeight="false" outlineLevel="0" collapsed="false">
      <c r="A22" s="14" t="s">
        <v>6</v>
      </c>
      <c r="B22" s="68" t="n">
        <v>2738356</v>
      </c>
      <c r="C22" s="68" t="n">
        <v>98394</v>
      </c>
      <c r="D22" s="14" t="s">
        <v>2856</v>
      </c>
      <c r="E22" s="69" t="n">
        <v>12000</v>
      </c>
      <c r="F22" s="69" t="n">
        <v>2200</v>
      </c>
      <c r="G22" s="68" t="n">
        <f aca="false">E22+F22</f>
        <v>14200</v>
      </c>
      <c r="H22" s="70" t="n">
        <f aca="false">IF(C22=0,0,G22/C22)</f>
        <v>0.144317742951806</v>
      </c>
      <c r="I22" s="16" t="s">
        <v>2911</v>
      </c>
    </row>
    <row r="23" customFormat="false" ht="15" hidden="false" customHeight="false" outlineLevel="0" collapsed="false">
      <c r="A23" s="14" t="s">
        <v>9</v>
      </c>
      <c r="B23" s="68" t="n">
        <v>2000000</v>
      </c>
      <c r="C23" s="68" t="n">
        <v>67274</v>
      </c>
      <c r="D23" s="14" t="s">
        <v>2892</v>
      </c>
      <c r="E23" s="69" t="n">
        <v>8200</v>
      </c>
      <c r="F23" s="69" t="n">
        <v>1500</v>
      </c>
      <c r="G23" s="68" t="n">
        <f aca="false">E23+F23</f>
        <v>9700</v>
      </c>
      <c r="H23" s="70" t="n">
        <f aca="false">IF(C23=0,0,G23/C23)</f>
        <v>0.144186461337218</v>
      </c>
      <c r="I23" s="16" t="s">
        <v>2912</v>
      </c>
    </row>
    <row r="24" customFormat="false" ht="15" hidden="false" customHeight="false" outlineLevel="0" collapsed="false">
      <c r="A24" s="2" t="s">
        <v>2913</v>
      </c>
    </row>
  </sheetData>
  <hyperlinks>
    <hyperlink ref="I5" r:id="rId1" display="https://www.census.gov/quickfacts/fact/table/miamicityflorida/PST045224"/>
    <hyperlink ref="I6" r:id="rId2" display="https://datausa.io/profile/geo/hialeah-fl/"/>
    <hyperlink ref="I7" r:id="rId3" display="https://www.census.gov/quickfacts/fact/table/doralcityflorida/PST045225"/>
    <hyperlink ref="I8" r:id="rId4" display="https://www.townofmedley.com/about-us"/>
    <hyperlink ref="I9" r:id="rId5" display="https://census.gov/quickfacts/fact/table/miamibeachcityflorida/POP060210"/>
    <hyperlink ref="I10" r:id="rId6" display="https://www.census.gov/quickfacts/fact/table/coralgablescityflorida/PST045224"/>
    <hyperlink ref="I11" r:id="rId7" display="https://en.wikipedia.org/wiki/Kendall,_Florida"/>
    <hyperlink ref="I12" r:id="rId8" display="https://www.census.gov/quickfacts/fact/table/miamigardenscityflorida/POP060210"/>
    <hyperlink ref="I13" r:id="rId9" display="https://census.gov/quickfacts/fact/table/homesteadcityflorida/PST120223"/>
    <hyperlink ref="I14" r:id="rId10" display="https://www.census.gov/quickfacts/fact/table/fortlauderdalecityflorida/PST045225"/>
    <hyperlink ref="I15" r:id="rId11" display="https://www.census.gov/quickfacts/fact/table/hollywoodcityflorida/PST045222"/>
    <hyperlink ref="I16" r:id="rId12" display="https://www.census.gov/quickfacts/fact/table/pembrokepinescityflorida/SBO010222"/>
    <hyperlink ref="I17" r:id="rId13" display="https://www.census.gov/quickfacts/fact/table/sunrisecityflorida/PST045222"/>
    <hyperlink ref="I18" r:id="rId14" display="https://www.census.gov/quickfacts/fact/table/plantationcityflorida/PST045225"/>
    <hyperlink ref="I22" r:id="rId15" display="https://www.miamidadematters.org/indicators/index/view?indicatorId=6371&amp;localeId=414"/>
    <hyperlink ref="I23" r:id="rId16" display="https://www.census.gov/quickfacts/fact/table/browardcountyflorida/PST04522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34"/>
    <col collapsed="false" customWidth="true" hidden="false" outlineLevel="0" max="5" min="5" style="0" width="60"/>
  </cols>
  <sheetData>
    <row r="1" customFormat="false" ht="22.05" hidden="false" customHeight="false" outlineLevel="0" collapsed="false">
      <c r="A1" s="1" t="s">
        <v>2914</v>
      </c>
    </row>
    <row r="2" customFormat="false" ht="15" hidden="false" customHeight="false" outlineLevel="0" collapsed="false">
      <c r="A2" s="2" t="s">
        <v>2915</v>
      </c>
    </row>
    <row r="4" customFormat="false" ht="30" hidden="false" customHeight="true" outlineLevel="0" collapsed="false">
      <c r="A4" s="13" t="s">
        <v>2916</v>
      </c>
      <c r="B4" s="13" t="s">
        <v>2917</v>
      </c>
      <c r="C4" s="13" t="s">
        <v>2851</v>
      </c>
      <c r="D4" s="13" t="s">
        <v>45</v>
      </c>
      <c r="E4" s="13" t="s">
        <v>2918</v>
      </c>
    </row>
    <row r="5" customFormat="false" ht="15" hidden="false" customHeight="false" outlineLevel="0" collapsed="false">
      <c r="A5" s="14" t="s">
        <v>2919</v>
      </c>
      <c r="B5" s="14" t="s">
        <v>2920</v>
      </c>
      <c r="C5" s="14" t="s">
        <v>2921</v>
      </c>
      <c r="D5" s="14" t="s">
        <v>2922</v>
      </c>
      <c r="E5" s="16" t="s">
        <v>2923</v>
      </c>
    </row>
    <row r="6" customFormat="false" ht="15" hidden="false" customHeight="false" outlineLevel="0" collapsed="false">
      <c r="A6" s="14" t="s">
        <v>2924</v>
      </c>
      <c r="B6" s="14" t="s">
        <v>2925</v>
      </c>
      <c r="C6" s="14" t="s">
        <v>2892</v>
      </c>
      <c r="D6" s="14" t="s">
        <v>2926</v>
      </c>
      <c r="E6" s="16" t="s">
        <v>2927</v>
      </c>
    </row>
    <row r="7" customFormat="false" ht="15" hidden="false" customHeight="false" outlineLevel="0" collapsed="false">
      <c r="A7" s="14" t="s">
        <v>2928</v>
      </c>
      <c r="B7" s="14" t="s">
        <v>2929</v>
      </c>
      <c r="C7" s="14" t="s">
        <v>2921</v>
      </c>
      <c r="D7" s="14" t="s">
        <v>2922</v>
      </c>
      <c r="E7" s="16" t="s">
        <v>2923</v>
      </c>
    </row>
    <row r="8" customFormat="false" ht="15" hidden="false" customHeight="false" outlineLevel="0" collapsed="false">
      <c r="A8" s="14" t="s">
        <v>2930</v>
      </c>
      <c r="B8" s="14" t="s">
        <v>2931</v>
      </c>
      <c r="C8" s="14" t="s">
        <v>2932</v>
      </c>
      <c r="D8" s="14" t="s">
        <v>2933</v>
      </c>
      <c r="E8" s="16" t="s">
        <v>2934</v>
      </c>
    </row>
    <row r="9" customFormat="false" ht="15" hidden="false" customHeight="false" outlineLevel="0" collapsed="false">
      <c r="A9" s="14" t="s">
        <v>2935</v>
      </c>
      <c r="B9" s="14" t="s">
        <v>2936</v>
      </c>
      <c r="C9" s="14" t="s">
        <v>2932</v>
      </c>
      <c r="D9" s="14" t="s">
        <v>2933</v>
      </c>
      <c r="E9" s="16" t="s">
        <v>2934</v>
      </c>
    </row>
    <row r="10" customFormat="false" ht="15" hidden="false" customHeight="false" outlineLevel="0" collapsed="false">
      <c r="A10" s="14" t="s">
        <v>2937</v>
      </c>
      <c r="B10" s="14" t="s">
        <v>2938</v>
      </c>
      <c r="C10" s="14" t="s">
        <v>2921</v>
      </c>
      <c r="D10" s="14" t="s">
        <v>2939</v>
      </c>
      <c r="E10" s="16" t="s">
        <v>2940</v>
      </c>
    </row>
    <row r="11" customFormat="false" ht="15" hidden="false" customHeight="false" outlineLevel="0" collapsed="false">
      <c r="A11" s="14" t="s">
        <v>2941</v>
      </c>
      <c r="B11" s="14" t="s">
        <v>2942</v>
      </c>
      <c r="C11" s="14" t="s">
        <v>2860</v>
      </c>
      <c r="D11" s="14" t="s">
        <v>2943</v>
      </c>
      <c r="E11" s="16" t="s">
        <v>2944</v>
      </c>
    </row>
    <row r="12" customFormat="false" ht="15" hidden="false" customHeight="false" outlineLevel="0" collapsed="false">
      <c r="A12" s="14" t="s">
        <v>2945</v>
      </c>
      <c r="B12" s="14" t="s">
        <v>2946</v>
      </c>
      <c r="C12" s="14" t="s">
        <v>2860</v>
      </c>
      <c r="D12" s="14" t="s">
        <v>2943</v>
      </c>
      <c r="E12" s="16" t="s">
        <v>2944</v>
      </c>
    </row>
    <row r="13" customFormat="false" ht="15" hidden="false" customHeight="false" outlineLevel="0" collapsed="false">
      <c r="A13" s="14" t="s">
        <v>2947</v>
      </c>
      <c r="B13" s="14" t="s">
        <v>2948</v>
      </c>
      <c r="C13" s="14" t="s">
        <v>2860</v>
      </c>
      <c r="D13" s="14" t="s">
        <v>2943</v>
      </c>
      <c r="E13" s="16" t="s">
        <v>2944</v>
      </c>
    </row>
    <row r="14" customFormat="false" ht="15" hidden="false" customHeight="false" outlineLevel="0" collapsed="false">
      <c r="A14" s="14" t="s">
        <v>2949</v>
      </c>
      <c r="B14" s="14" t="s">
        <v>2950</v>
      </c>
      <c r="C14" s="14" t="s">
        <v>2921</v>
      </c>
      <c r="D14" s="14" t="s">
        <v>2951</v>
      </c>
      <c r="E14" s="16" t="s">
        <v>2952</v>
      </c>
    </row>
    <row r="15" customFormat="false" ht="15" hidden="false" customHeight="false" outlineLevel="0" collapsed="false">
      <c r="A15" s="14" t="s">
        <v>2953</v>
      </c>
      <c r="B15" s="14" t="s">
        <v>2954</v>
      </c>
      <c r="C15" s="14" t="s">
        <v>2932</v>
      </c>
      <c r="D15" s="14" t="s">
        <v>2955</v>
      </c>
      <c r="E15" s="16" t="s">
        <v>2956</v>
      </c>
    </row>
    <row r="16" customFormat="false" ht="15" hidden="false" customHeight="false" outlineLevel="0" collapsed="false">
      <c r="A16" s="14" t="s">
        <v>2957</v>
      </c>
      <c r="B16" s="14" t="s">
        <v>2958</v>
      </c>
      <c r="C16" s="14" t="s">
        <v>2921</v>
      </c>
      <c r="D16" s="14" t="s">
        <v>2959</v>
      </c>
      <c r="E16" s="16" t="s">
        <v>2960</v>
      </c>
    </row>
    <row r="17" customFormat="false" ht="15" hidden="false" customHeight="false" outlineLevel="0" collapsed="false">
      <c r="A17" s="14" t="s">
        <v>2961</v>
      </c>
      <c r="B17" s="14" t="s">
        <v>2962</v>
      </c>
      <c r="C17" s="14" t="s">
        <v>2921</v>
      </c>
      <c r="D17" s="14" t="s">
        <v>2963</v>
      </c>
      <c r="E17" s="16" t="s">
        <v>2964</v>
      </c>
    </row>
    <row r="18" customFormat="false" ht="15" hidden="false" customHeight="false" outlineLevel="0" collapsed="false">
      <c r="A18" s="14" t="s">
        <v>2965</v>
      </c>
      <c r="B18" s="14" t="s">
        <v>2966</v>
      </c>
      <c r="C18" s="14" t="s">
        <v>2921</v>
      </c>
      <c r="D18" s="14" t="s">
        <v>2967</v>
      </c>
      <c r="E18" s="16" t="s">
        <v>2968</v>
      </c>
    </row>
  </sheetData>
  <hyperlinks>
    <hyperlink ref="E5" r:id="rId1" display="https://clutch.co/press-releases/smb-websites-2025"/>
    <hyperlink ref="E6" r:id="rId2" display="https://www.prnewswire.com/news-releases/27-of-small-businesses-still-dont-have-a-website-in-2022-301542302.html"/>
    <hyperlink ref="E7" r:id="rId3" display="https://clutch.co/press-releases/smb-websites-2025"/>
    <hyperlink ref="E8" r:id="rId4" display="https://localiq.com/blog/small-business-marketing-trends-report-2026/"/>
    <hyperlink ref="E9" r:id="rId5" display="https://localiq.com/blog/small-business-marketing-trends-report-2026/"/>
    <hyperlink ref="E10" r:id="rId6" display="https://www.uschamber.com/technology/artificial-intelligence/u-s-chambers-latest-empowering-small-business-report-shows-majority-of-businesses-in-all-50-states-are-embracing-ai"/>
    <hyperlink ref="E11" r:id="rId7" display="https://www.businessobserverfl.com/news/2025/may/19/florida-new-business-formations/"/>
    <hyperlink ref="E12" r:id="rId8" display="https://www.businessobserverfl.com/news/2025/may/19/florida-new-business-formations/"/>
    <hyperlink ref="E13" r:id="rId9" display="https://www.businessobserverfl.com/news/2025/may/19/florida-new-business-formations/"/>
    <hyperlink ref="E14" r:id="rId10" display="https://advocacy.sba.gov/wp-content/uploads/2025/06/Florida_2025-State-Profile.pdf"/>
    <hyperlink ref="E15" r:id="rId11" display="https://dos.fl.gov/sunbiz/"/>
    <hyperlink ref="E16" r:id="rId12" display="https://dos.fl.gov/sunbiz/about-us/yearly-statistics/"/>
    <hyperlink ref="E17" r:id="rId13" display="https://www.adatitleiii.com/2026/02/ada-title-iii-federal-lawsuit-filings-fall-slightly-to-8667-in-2025/"/>
    <hyperlink ref="E18" r:id="rId14" display="https://blog.usablenet.com/ada-web-lawsuit-trends-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4" min="3" style="0" width="11"/>
    <col collapsed="false" customWidth="true" hidden="false" outlineLevel="0" max="5" min="5" style="0" width="40"/>
    <col collapsed="false" customWidth="true" hidden="false" outlineLevel="0" max="6" min="6" style="0" width="60"/>
  </cols>
  <sheetData>
    <row r="1" customFormat="false" ht="22.05" hidden="false" customHeight="false" outlineLevel="0" collapsed="false">
      <c r="A1" s="1" t="s">
        <v>2969</v>
      </c>
    </row>
    <row r="2" customFormat="false" ht="15" hidden="false" customHeight="false" outlineLevel="0" collapsed="false">
      <c r="A2" s="2" t="s">
        <v>2970</v>
      </c>
    </row>
    <row r="4" customFormat="false" ht="30" hidden="false" customHeight="true" outlineLevel="0" collapsed="false">
      <c r="A4" s="13" t="s">
        <v>2971</v>
      </c>
      <c r="B4" s="13" t="s">
        <v>38</v>
      </c>
      <c r="C4" s="13" t="s">
        <v>2972</v>
      </c>
      <c r="D4" s="13" t="s">
        <v>2973</v>
      </c>
      <c r="E4" s="13" t="s">
        <v>2974</v>
      </c>
      <c r="F4" s="13" t="s">
        <v>45</v>
      </c>
    </row>
    <row r="5" customFormat="false" ht="15" hidden="false" customHeight="false" outlineLevel="0" collapsed="false">
      <c r="A5" s="14" t="s">
        <v>2975</v>
      </c>
      <c r="B5" s="14"/>
      <c r="C5" s="71" t="n">
        <v>5.26</v>
      </c>
      <c r="D5" s="71" t="n">
        <v>70.11</v>
      </c>
      <c r="E5" s="14" t="s">
        <v>2976</v>
      </c>
      <c r="F5" s="16" t="s">
        <v>2977</v>
      </c>
    </row>
    <row r="6" customFormat="false" ht="15" hidden="false" customHeight="false" outlineLevel="0" collapsed="false">
      <c r="A6" s="14" t="s">
        <v>2978</v>
      </c>
      <c r="B6" s="14" t="s">
        <v>1004</v>
      </c>
      <c r="C6" s="71" t="n">
        <v>9.87</v>
      </c>
      <c r="D6" s="71" t="n">
        <v>131.63</v>
      </c>
      <c r="E6" s="14" t="s">
        <v>2979</v>
      </c>
      <c r="F6" s="16" t="s">
        <v>2980</v>
      </c>
    </row>
    <row r="7" customFormat="false" ht="15" hidden="false" customHeight="false" outlineLevel="0" collapsed="false">
      <c r="A7" s="14" t="s">
        <v>483</v>
      </c>
      <c r="B7" s="14" t="s">
        <v>474</v>
      </c>
      <c r="C7" s="71" t="n">
        <v>8</v>
      </c>
      <c r="D7" s="71"/>
      <c r="E7" s="14" t="s">
        <v>2981</v>
      </c>
      <c r="F7" s="16" t="s">
        <v>2980</v>
      </c>
    </row>
    <row r="8" customFormat="false" ht="15" hidden="false" customHeight="false" outlineLevel="0" collapsed="false">
      <c r="A8" s="14" t="s">
        <v>2982</v>
      </c>
      <c r="B8" s="14" t="s">
        <v>474</v>
      </c>
      <c r="C8" s="71" t="n">
        <v>5</v>
      </c>
      <c r="D8" s="71" t="n">
        <v>56.83</v>
      </c>
      <c r="E8" s="14" t="s">
        <v>2983</v>
      </c>
      <c r="F8" s="16" t="s">
        <v>2977</v>
      </c>
    </row>
    <row r="9" customFormat="false" ht="15" hidden="false" customHeight="false" outlineLevel="0" collapsed="false">
      <c r="A9" s="14" t="s">
        <v>2984</v>
      </c>
      <c r="B9" s="14" t="s">
        <v>125</v>
      </c>
      <c r="C9" s="71" t="n">
        <v>10.7</v>
      </c>
      <c r="D9" s="71" t="n">
        <v>228.15</v>
      </c>
      <c r="E9" s="14" t="s">
        <v>2985</v>
      </c>
      <c r="F9" s="16" t="s">
        <v>2986</v>
      </c>
    </row>
    <row r="10" customFormat="false" ht="15" hidden="false" customHeight="false" outlineLevel="0" collapsed="false">
      <c r="A10" s="14" t="s">
        <v>280</v>
      </c>
      <c r="B10" s="14" t="s">
        <v>125</v>
      </c>
      <c r="C10" s="71"/>
      <c r="D10" s="71" t="n">
        <v>76.4</v>
      </c>
      <c r="E10" s="14" t="s">
        <v>2985</v>
      </c>
      <c r="F10" s="16" t="s">
        <v>2986</v>
      </c>
    </row>
    <row r="11" customFormat="false" ht="15" hidden="false" customHeight="false" outlineLevel="0" collapsed="false">
      <c r="A11" s="14" t="s">
        <v>564</v>
      </c>
      <c r="B11" s="14" t="s">
        <v>125</v>
      </c>
      <c r="C11" s="71"/>
      <c r="D11" s="71" t="n">
        <v>84.92</v>
      </c>
      <c r="E11" s="14" t="s">
        <v>2985</v>
      </c>
      <c r="F11" s="16" t="s">
        <v>2986</v>
      </c>
    </row>
    <row r="12" customFormat="false" ht="15" hidden="false" customHeight="false" outlineLevel="0" collapsed="false">
      <c r="A12" s="14" t="s">
        <v>2987</v>
      </c>
      <c r="B12" s="14" t="s">
        <v>125</v>
      </c>
      <c r="C12" s="71" t="n">
        <v>5.31</v>
      </c>
      <c r="D12" s="71"/>
      <c r="E12" s="14" t="s">
        <v>2985</v>
      </c>
      <c r="F12" s="16" t="s">
        <v>2986</v>
      </c>
    </row>
    <row r="13" customFormat="false" ht="15" hidden="false" customHeight="false" outlineLevel="0" collapsed="false">
      <c r="A13" s="14" t="s">
        <v>2988</v>
      </c>
      <c r="B13" s="14" t="s">
        <v>224</v>
      </c>
      <c r="C13" s="71"/>
      <c r="D13" s="71" t="n">
        <v>28.5</v>
      </c>
      <c r="E13" s="14" t="s">
        <v>2983</v>
      </c>
      <c r="F13" s="16" t="s">
        <v>2977</v>
      </c>
    </row>
    <row r="14" customFormat="false" ht="15" hidden="false" customHeight="false" outlineLevel="0" collapsed="false">
      <c r="A14" s="14" t="s">
        <v>549</v>
      </c>
      <c r="B14" s="14" t="s">
        <v>538</v>
      </c>
      <c r="C14" s="71" t="n">
        <v>2.05</v>
      </c>
      <c r="D14" s="71" t="n">
        <v>30.27</v>
      </c>
      <c r="E14" s="14" t="s">
        <v>2983</v>
      </c>
      <c r="F14" s="16" t="s">
        <v>2977</v>
      </c>
    </row>
    <row r="15" customFormat="false" ht="15" hidden="false" customHeight="false" outlineLevel="0" collapsed="false">
      <c r="A15" s="14" t="s">
        <v>2989</v>
      </c>
      <c r="B15" s="14" t="s">
        <v>113</v>
      </c>
      <c r="C15" s="71"/>
      <c r="D15" s="71" t="n">
        <v>103.54</v>
      </c>
      <c r="E15" s="14" t="s">
        <v>2983</v>
      </c>
      <c r="F15" s="16" t="s">
        <v>2977</v>
      </c>
    </row>
    <row r="16" customFormat="false" ht="15" hidden="false" customHeight="false" outlineLevel="0" collapsed="false">
      <c r="A16" s="14" t="s">
        <v>2990</v>
      </c>
      <c r="B16" s="14" t="s">
        <v>908</v>
      </c>
      <c r="C16" s="71"/>
      <c r="D16" s="71" t="n">
        <v>100.48</v>
      </c>
      <c r="E16" s="14" t="s">
        <v>2983</v>
      </c>
      <c r="F16" s="16" t="s">
        <v>2977</v>
      </c>
    </row>
    <row r="17" customFormat="false" ht="15" hidden="false" customHeight="false" outlineLevel="0" collapsed="false">
      <c r="A17" s="14" t="s">
        <v>2991</v>
      </c>
      <c r="B17" s="14" t="s">
        <v>474</v>
      </c>
      <c r="C17" s="71" t="n">
        <v>9.81</v>
      </c>
      <c r="D17" s="71" t="n">
        <v>105</v>
      </c>
      <c r="E17" s="14" t="s">
        <v>2992</v>
      </c>
      <c r="F17" s="16" t="s">
        <v>2993</v>
      </c>
    </row>
    <row r="18" customFormat="false" ht="15" hidden="false" customHeight="false" outlineLevel="0" collapsed="false">
      <c r="A18" s="14" t="s">
        <v>2994</v>
      </c>
      <c r="B18" s="14" t="s">
        <v>1004</v>
      </c>
      <c r="C18" s="71" t="n">
        <v>70</v>
      </c>
      <c r="D18" s="71" t="n">
        <v>300</v>
      </c>
      <c r="E18" s="14" t="s">
        <v>2995</v>
      </c>
      <c r="F18" s="16" t="s">
        <v>2996</v>
      </c>
    </row>
    <row r="19" customFormat="false" ht="15" hidden="false" customHeight="false" outlineLevel="0" collapsed="false">
      <c r="A19" s="14" t="s">
        <v>2997</v>
      </c>
      <c r="B19" s="14" t="s">
        <v>1004</v>
      </c>
      <c r="C19" s="71" t="n">
        <v>45</v>
      </c>
      <c r="D19" s="71"/>
      <c r="E19" s="14" t="s">
        <v>2998</v>
      </c>
      <c r="F19" s="16" t="s">
        <v>2999</v>
      </c>
    </row>
    <row r="21" customFormat="false" ht="15" hidden="false" customHeight="false" outlineLevel="0" collapsed="false">
      <c r="A21" s="3" t="s">
        <v>3000</v>
      </c>
    </row>
    <row r="22" customFormat="false" ht="30" hidden="false" customHeight="true" outlineLevel="0" collapsed="false">
      <c r="A22" s="13" t="s">
        <v>3001</v>
      </c>
      <c r="B22" s="13" t="s">
        <v>3002</v>
      </c>
      <c r="C22" s="13" t="s">
        <v>3003</v>
      </c>
      <c r="D22" s="13" t="s">
        <v>3004</v>
      </c>
      <c r="E22" s="13" t="s">
        <v>3005</v>
      </c>
      <c r="F22" s="13" t="s">
        <v>45</v>
      </c>
    </row>
    <row r="23" customFormat="false" ht="15" hidden="false" customHeight="false" outlineLevel="0" collapsed="false">
      <c r="A23" s="14" t="s">
        <v>3006</v>
      </c>
      <c r="B23" s="63" t="n">
        <v>2500</v>
      </c>
      <c r="C23" s="63" t="n">
        <v>15000</v>
      </c>
      <c r="D23" s="63" t="n">
        <f aca="false">AVERAGE(B23:C23)</f>
        <v>8750</v>
      </c>
      <c r="E23" s="14" t="s">
        <v>3007</v>
      </c>
      <c r="F23" s="16" t="s">
        <v>3008</v>
      </c>
    </row>
    <row r="24" customFormat="false" ht="15" hidden="false" customHeight="false" outlineLevel="0" collapsed="false">
      <c r="A24" s="14" t="s">
        <v>3009</v>
      </c>
      <c r="B24" s="63" t="n">
        <v>500</v>
      </c>
      <c r="C24" s="63" t="n">
        <v>2000</v>
      </c>
      <c r="D24" s="63" t="n">
        <f aca="false">AVERAGE(B24:C24)</f>
        <v>1250</v>
      </c>
      <c r="E24" s="14" t="s">
        <v>3007</v>
      </c>
      <c r="F24" s="16" t="s">
        <v>3010</v>
      </c>
    </row>
    <row r="25" customFormat="false" ht="15" hidden="false" customHeight="false" outlineLevel="0" collapsed="false">
      <c r="A25" s="14" t="s">
        <v>3011</v>
      </c>
      <c r="B25" s="63" t="n">
        <v>750</v>
      </c>
      <c r="C25" s="63" t="n">
        <v>3000</v>
      </c>
      <c r="D25" s="63" t="n">
        <f aca="false">AVERAGE(B25:C25)</f>
        <v>1875</v>
      </c>
      <c r="E25" s="14" t="s">
        <v>3012</v>
      </c>
      <c r="F25" s="16" t="s">
        <v>3013</v>
      </c>
    </row>
    <row r="26" customFormat="false" ht="15" hidden="false" customHeight="false" outlineLevel="0" collapsed="false">
      <c r="A26" s="14" t="s">
        <v>3014</v>
      </c>
      <c r="B26" s="63" t="n">
        <v>1000</v>
      </c>
      <c r="C26" s="63" t="n">
        <v>3000</v>
      </c>
      <c r="D26" s="63" t="n">
        <f aca="false">AVERAGE(B26:C26)</f>
        <v>2000</v>
      </c>
      <c r="E26" s="14" t="s">
        <v>3012</v>
      </c>
      <c r="F26" s="16" t="s">
        <v>3015</v>
      </c>
    </row>
    <row r="27" customFormat="false" ht="15" hidden="false" customHeight="false" outlineLevel="0" collapsed="false">
      <c r="A27" s="14" t="s">
        <v>3016</v>
      </c>
      <c r="B27" s="63" t="n">
        <v>500</v>
      </c>
      <c r="C27" s="63" t="n">
        <v>2500</v>
      </c>
      <c r="D27" s="63" t="n">
        <f aca="false">AVERAGE(B27:C27)</f>
        <v>1500</v>
      </c>
      <c r="E27" s="14" t="s">
        <v>3017</v>
      </c>
      <c r="F27" s="16" t="s">
        <v>3018</v>
      </c>
    </row>
    <row r="28" customFormat="false" ht="15" hidden="false" customHeight="false" outlineLevel="0" collapsed="false">
      <c r="A28" s="14" t="s">
        <v>3019</v>
      </c>
      <c r="B28" s="63" t="n">
        <v>1000</v>
      </c>
      <c r="C28" s="63" t="n">
        <v>2500</v>
      </c>
      <c r="D28" s="63" t="n">
        <f aca="false">AVERAGE(B28:C28)</f>
        <v>1750</v>
      </c>
      <c r="E28" s="14" t="s">
        <v>3020</v>
      </c>
      <c r="F28" s="16" t="s">
        <v>3021</v>
      </c>
    </row>
  </sheetData>
  <hyperlinks>
    <hyperlink ref="F5" r:id="rId1" display="https://www.wordstream.com/blog/2025-google-ads-benchmarks"/>
    <hyperlink ref="F6" r:id="rId2" display="https://www.wordstream.com/blog/2026-google-ads-benchmarks"/>
    <hyperlink ref="F7" r:id="rId3" display="https://www.wordstream.com/blog/2026-google-ads-benchmarks"/>
    <hyperlink ref="F8" r:id="rId4" display="https://www.wordstream.com/blog/2025-google-ads-benchmarks"/>
    <hyperlink ref="F9" r:id="rId5" display="https://localiq.com/blog/home-services-search-advertising-benchmarks/"/>
    <hyperlink ref="F10" r:id="rId6" display="https://localiq.com/blog/home-services-search-advertising-benchmarks/"/>
    <hyperlink ref="F11" r:id="rId7" display="https://localiq.com/blog/home-services-search-advertising-benchmarks/"/>
    <hyperlink ref="F12" r:id="rId8" display="https://localiq.com/blog/home-services-search-advertising-benchmarks/"/>
    <hyperlink ref="F13" r:id="rId9" display="https://www.wordstream.com/blog/2025-google-ads-benchmarks"/>
    <hyperlink ref="F14" r:id="rId10" display="https://www.wordstream.com/blog/2025-google-ads-benchmarks"/>
    <hyperlink ref="F15" r:id="rId11" display="https://www.wordstream.com/blog/2025-google-ads-benchmarks"/>
    <hyperlink ref="F16" r:id="rId12" display="https://www.wordstream.com/blog/2025-google-ads-benchmarks"/>
    <hyperlink ref="F17" r:id="rId13" display="https://ppcchief.com/google-ads-cost/dental/miami"/>
    <hyperlink ref="F18" r:id="rId14" display="https://custom.legal/practice-areas/personal-injury-law-firm-marketing/cost-per-click-benchmarks-for-personal-injury/"/>
    <hyperlink ref="F19" r:id="rId15" display="https://www.greatmarketing.ai/blog/spanish-speaking-personal-injury-lawyer-marketing"/>
    <hyperlink ref="F23" r:id="rId16" display="https://tamer.marketing/blog/web-design-cost-miami/"/>
    <hyperlink ref="F24" r:id="rId17" display="https://startupstarz.com/how-much-does-a-website-cost-for-a-small-business-in-miami-2026-pricing-guide/"/>
    <hyperlink ref="F25" r:id="rId18" display="https://tamer.marketing/blog/seo-cost-miami/"/>
    <hyperlink ref="F26" r:id="rId19" display="https://onceonceagency.com/social-media-management-cost-miami/"/>
    <hyperlink ref="F27" r:id="rId20" display="https://www.2pointagency.com/glossary/pricing-for-ppc-management-services-in-miami/"/>
    <hyperlink ref="F28" r:id="rId21" display="https://www.americaneagle.com/insights/blog/post/how-much-does-it-cost-to-advertise-on-google-ads-in-202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2"/>
    <col collapsed="false" customWidth="true" hidden="false" outlineLevel="0" max="3" min="3" style="0" width="52"/>
    <col collapsed="false" customWidth="true" hidden="false" outlineLevel="0" max="4" min="4" style="0" width="56"/>
  </cols>
  <sheetData>
    <row r="1" customFormat="false" ht="22.05" hidden="false" customHeight="false" outlineLevel="0" collapsed="false">
      <c r="A1" s="1" t="s">
        <v>3022</v>
      </c>
    </row>
    <row r="2" customFormat="false" ht="15" hidden="false" customHeight="false" outlineLevel="0" collapsed="false">
      <c r="A2" s="2" t="s">
        <v>3023</v>
      </c>
    </row>
    <row r="4" customFormat="false" ht="30" hidden="false" customHeight="true" outlineLevel="0" collapsed="false">
      <c r="A4" s="13" t="s">
        <v>3024</v>
      </c>
      <c r="B4" s="13" t="s">
        <v>3025</v>
      </c>
      <c r="C4" s="13" t="s">
        <v>3026</v>
      </c>
      <c r="D4" s="13" t="s">
        <v>3027</v>
      </c>
    </row>
    <row r="5" customFormat="false" ht="23.85" hidden="false" customHeight="false" outlineLevel="0" collapsed="false">
      <c r="A5" s="14" t="s">
        <v>3028</v>
      </c>
      <c r="B5" s="14" t="s">
        <v>3029</v>
      </c>
      <c r="C5" s="14" t="s">
        <v>3030</v>
      </c>
      <c r="D5" s="16" t="s">
        <v>3031</v>
      </c>
    </row>
    <row r="6" customFormat="false" ht="23.85" hidden="false" customHeight="false" outlineLevel="0" collapsed="false">
      <c r="A6" s="14" t="s">
        <v>3032</v>
      </c>
      <c r="B6" s="14" t="s">
        <v>3033</v>
      </c>
      <c r="C6" s="14" t="s">
        <v>3034</v>
      </c>
      <c r="D6" s="16" t="s">
        <v>896</v>
      </c>
    </row>
    <row r="7" customFormat="false" ht="15" hidden="false" customHeight="false" outlineLevel="0" collapsed="false">
      <c r="A7" s="14" t="s">
        <v>3035</v>
      </c>
      <c r="B7" s="14" t="s">
        <v>3036</v>
      </c>
      <c r="C7" s="14" t="s">
        <v>3037</v>
      </c>
      <c r="D7" s="16" t="s">
        <v>3038</v>
      </c>
    </row>
    <row r="8" customFormat="false" ht="15" hidden="false" customHeight="false" outlineLevel="0" collapsed="false">
      <c r="A8" s="14" t="s">
        <v>3039</v>
      </c>
      <c r="B8" s="14" t="s">
        <v>3040</v>
      </c>
      <c r="C8" s="14" t="s">
        <v>3041</v>
      </c>
      <c r="D8" s="16" t="s">
        <v>3042</v>
      </c>
    </row>
    <row r="9" customFormat="false" ht="15" hidden="false" customHeight="false" outlineLevel="0" collapsed="false">
      <c r="A9" s="14" t="s">
        <v>3043</v>
      </c>
      <c r="B9" s="14" t="s">
        <v>3044</v>
      </c>
      <c r="C9" s="14" t="s">
        <v>3045</v>
      </c>
      <c r="D9" s="16" t="s">
        <v>3046</v>
      </c>
    </row>
    <row r="10" customFormat="false" ht="23.85" hidden="false" customHeight="false" outlineLevel="0" collapsed="false">
      <c r="A10" s="14" t="s">
        <v>3047</v>
      </c>
      <c r="B10" s="14" t="s">
        <v>3048</v>
      </c>
      <c r="C10" s="14" t="s">
        <v>3049</v>
      </c>
      <c r="D10" s="16" t="s">
        <v>3050</v>
      </c>
    </row>
    <row r="11" customFormat="false" ht="15" hidden="false" customHeight="false" outlineLevel="0" collapsed="false">
      <c r="A11" s="14" t="s">
        <v>3051</v>
      </c>
      <c r="B11" s="14" t="s">
        <v>3052</v>
      </c>
      <c r="C11" s="14" t="s">
        <v>3053</v>
      </c>
      <c r="D11" s="16" t="s">
        <v>3054</v>
      </c>
    </row>
    <row r="12" customFormat="false" ht="15" hidden="false" customHeight="false" outlineLevel="0" collapsed="false">
      <c r="A12" s="14" t="s">
        <v>3055</v>
      </c>
      <c r="B12" s="14" t="s">
        <v>3056</v>
      </c>
      <c r="C12" s="14" t="s">
        <v>3057</v>
      </c>
      <c r="D12" s="16" t="s">
        <v>3058</v>
      </c>
    </row>
    <row r="13" customFormat="false" ht="15" hidden="false" customHeight="false" outlineLevel="0" collapsed="false">
      <c r="A13" s="14" t="s">
        <v>3059</v>
      </c>
      <c r="B13" s="14" t="s">
        <v>3060</v>
      </c>
      <c r="C13" s="14" t="s">
        <v>3061</v>
      </c>
      <c r="D13" s="16" t="s">
        <v>3062</v>
      </c>
    </row>
    <row r="14" customFormat="false" ht="15" hidden="false" customHeight="false" outlineLevel="0" collapsed="false">
      <c r="A14" s="14" t="s">
        <v>3063</v>
      </c>
      <c r="B14" s="14" t="s">
        <v>3064</v>
      </c>
      <c r="C14" s="14" t="s">
        <v>3061</v>
      </c>
      <c r="D14" s="16" t="s">
        <v>3065</v>
      </c>
    </row>
    <row r="15" customFormat="false" ht="15" hidden="false" customHeight="false" outlineLevel="0" collapsed="false">
      <c r="A15" s="14" t="s">
        <v>3066</v>
      </c>
      <c r="B15" s="14" t="s">
        <v>3067</v>
      </c>
      <c r="C15" s="14" t="s">
        <v>3061</v>
      </c>
      <c r="D15" s="16" t="s">
        <v>3068</v>
      </c>
    </row>
    <row r="16" customFormat="false" ht="23.85" hidden="false" customHeight="false" outlineLevel="0" collapsed="false">
      <c r="A16" s="14" t="s">
        <v>3069</v>
      </c>
      <c r="B16" s="14" t="s">
        <v>3070</v>
      </c>
      <c r="C16" s="14" t="s">
        <v>3071</v>
      </c>
      <c r="D16" s="16" t="s">
        <v>3072</v>
      </c>
    </row>
    <row r="17" customFormat="false" ht="15" hidden="false" customHeight="false" outlineLevel="0" collapsed="false">
      <c r="A17" s="14" t="s">
        <v>3073</v>
      </c>
      <c r="B17" s="14" t="s">
        <v>3074</v>
      </c>
      <c r="C17" s="14" t="s">
        <v>3075</v>
      </c>
      <c r="D17" s="16" t="s">
        <v>3076</v>
      </c>
    </row>
    <row r="18" customFormat="false" ht="15" hidden="false" customHeight="false" outlineLevel="0" collapsed="false">
      <c r="A18" s="14" t="s">
        <v>3077</v>
      </c>
      <c r="B18" s="14" t="s">
        <v>3078</v>
      </c>
      <c r="C18" s="14" t="s">
        <v>3079</v>
      </c>
      <c r="D18" s="16" t="s">
        <v>3080</v>
      </c>
    </row>
    <row r="19" customFormat="false" ht="23.85" hidden="false" customHeight="false" outlineLevel="0" collapsed="false">
      <c r="A19" s="14" t="s">
        <v>3081</v>
      </c>
      <c r="B19" s="14" t="s">
        <v>3082</v>
      </c>
      <c r="C19" s="14" t="s">
        <v>3083</v>
      </c>
      <c r="D19" s="16" t="s">
        <v>3084</v>
      </c>
    </row>
    <row r="20" customFormat="false" ht="15" hidden="false" customHeight="false" outlineLevel="0" collapsed="false">
      <c r="A20" s="14" t="s">
        <v>3085</v>
      </c>
      <c r="B20" s="14" t="s">
        <v>3086</v>
      </c>
      <c r="C20" s="14" t="s">
        <v>3087</v>
      </c>
      <c r="D20" s="16" t="s">
        <v>3088</v>
      </c>
    </row>
    <row r="21" customFormat="false" ht="15" hidden="false" customHeight="false" outlineLevel="0" collapsed="false">
      <c r="A21" s="14" t="s">
        <v>3089</v>
      </c>
      <c r="B21" s="14" t="s">
        <v>3090</v>
      </c>
      <c r="C21" s="14" t="s">
        <v>3091</v>
      </c>
      <c r="D21" s="16" t="s">
        <v>2964</v>
      </c>
    </row>
    <row r="23" customFormat="false" ht="15" hidden="false" customHeight="false" outlineLevel="0" collapsed="false">
      <c r="A23" s="3" t="s">
        <v>3092</v>
      </c>
    </row>
    <row r="24" customFormat="false" ht="23.85" hidden="false" customHeight="false" outlineLevel="0" collapsed="false">
      <c r="A24" s="14" t="s">
        <v>3093</v>
      </c>
      <c r="B24" s="14"/>
      <c r="C24" s="14"/>
      <c r="D24" s="16" t="s">
        <v>3094</v>
      </c>
    </row>
    <row r="25" customFormat="false" ht="15" hidden="false" customHeight="false" outlineLevel="0" collapsed="false">
      <c r="A25" s="14" t="s">
        <v>3095</v>
      </c>
      <c r="B25" s="14"/>
      <c r="C25" s="14"/>
      <c r="D25" s="16" t="s">
        <v>3096</v>
      </c>
    </row>
    <row r="26" customFormat="false" ht="15" hidden="false" customHeight="false" outlineLevel="0" collapsed="false">
      <c r="A26" s="14" t="s">
        <v>3097</v>
      </c>
      <c r="B26" s="14"/>
      <c r="C26" s="14"/>
      <c r="D26" s="16" t="s">
        <v>3098</v>
      </c>
    </row>
    <row r="27" customFormat="false" ht="15" hidden="false" customHeight="false" outlineLevel="0" collapsed="false">
      <c r="A27" s="14" t="s">
        <v>3099</v>
      </c>
      <c r="B27" s="14"/>
      <c r="C27" s="14"/>
      <c r="D27" s="16" t="s">
        <v>3046</v>
      </c>
    </row>
    <row r="28" customFormat="false" ht="15" hidden="false" customHeight="false" outlineLevel="0" collapsed="false">
      <c r="A28" s="14" t="s">
        <v>3100</v>
      </c>
      <c r="B28" s="14"/>
      <c r="C28" s="14"/>
      <c r="D28" s="16" t="s">
        <v>3101</v>
      </c>
    </row>
  </sheetData>
  <hyperlinks>
    <hyperlink ref="D5" r:id="rId1" display="https://dos.fl.gov/sunbiz/start-business/efile/fl-fictitious-name-registration/"/>
    <hyperlink ref="D6" r:id="rId2" display="https://search.sunbiz.org/"/>
    <hyperlink ref="D7" r:id="rId3" display="https://dos.fl.gov/sunbiz/manage-business/efile/annual-report/"/>
    <hyperlink ref="D8" r:id="rId4" display="https://dos.fl.gov/sunbiz/search/"/>
    <hyperlink ref="D9" r:id="rId5" display="https://dos.fl.gov/sunbiz/other-services/data-downloads/"/>
    <hyperlink ref="D10" r:id="rId6" display="https://www2.myfloridalicense.com/services-requiring-a-dbpr-license/"/>
    <hyperlink ref="D11" r:id="rId7" display="https://www.mdctaxcollector.gov/services/local-business-tax-receipt"/>
    <hyperlink ref="D12" r:id="rId8" display="https://browardtax.org/business-tax-receipt/"/>
    <hyperlink ref="D13" r:id="rId9" display="https://www.fortlauderdale.gov/Government/Departments/Community-Services/Business-Tax"/>
    <hyperlink ref="D14" r:id="rId10" display="https://www.miamibeachfl.gov/city-hall/finance/business-tax-receipts-btr/"/>
    <hyperlink ref="D15" r:id="rId11" display="https://www.townofmedley.com/local-business-tax-receipts"/>
    <hyperlink ref="D16" r:id="rId12" display="https://www.flsenate.gov/Committees/BillSummaries/2023/html/761"/>
    <hyperlink ref="D17" r:id="rId13" display="https://www.fdacs.gov/Consumer-Resources/Consumer-Rights-and-Responsibilities/Telemarketing"/>
    <hyperlink ref="D18" r:id="rId14" display="https://www.fdacs.gov/Business-Services/Florida-Do-Not-Call"/>
    <hyperlink ref="D19" r:id="rId15" display="https://www.ftc.gov/business-guidance/resources/can-spam-act-compliance-guide-business"/>
    <hyperlink ref="D20" r:id="rId16" display="https://privacylawmap.com/states/florida"/>
    <hyperlink ref="D21" r:id="rId17" display="https://www.adatitleiii.com/2026/02/ada-title-iii-federal-lawsuit-filings-fall-slightly-to-8667-in-2025/"/>
    <hyperlink ref="D24" r:id="rId18" display="https://opendata.miamidade.gov/datasets/local-business-tax-view"/>
    <hyperlink ref="D25" r:id="rId19" display="https://gis-mdc.opendata.arcgis.com/datasets/1952228619b0463cb6f9f7dc839bff88"/>
    <hyperlink ref="D26" r:id="rId20" display="https://geohub-bcgis.opendata.arcgis.com/datasets/business-tax-records/about"/>
    <hyperlink ref="D27" r:id="rId21" display="https://dos.fl.gov/sunbiz/other-services/data-downloads/"/>
    <hyperlink ref="D28" r:id="rId22" display="https://www2.myfloridalicense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2.05" hidden="false" customHeight="false" outlineLevel="0" collapsed="false">
      <c r="A1" s="1" t="s">
        <v>3102</v>
      </c>
    </row>
    <row r="2" customFormat="false" ht="15" hidden="false" customHeight="false" outlineLevel="0" collapsed="false">
      <c r="A2" s="2" t="s">
        <v>3103</v>
      </c>
    </row>
    <row r="4" customFormat="false" ht="30" hidden="false" customHeight="true" outlineLevel="0" collapsed="false">
      <c r="A4" s="13" t="s">
        <v>3024</v>
      </c>
      <c r="B4" s="13" t="s">
        <v>3104</v>
      </c>
    </row>
    <row r="5" customFormat="false" ht="23.85" hidden="false" customHeight="false" outlineLevel="0" collapsed="false">
      <c r="A5" s="65" t="s">
        <v>3105</v>
      </c>
      <c r="B5" s="14" t="s">
        <v>3106</v>
      </c>
    </row>
    <row r="6" customFormat="false" ht="23.85" hidden="false" customHeight="false" outlineLevel="0" collapsed="false">
      <c r="A6" s="65" t="s">
        <v>3107</v>
      </c>
      <c r="B6" s="14" t="s">
        <v>3108</v>
      </c>
    </row>
    <row r="7" customFormat="false" ht="23.85" hidden="false" customHeight="false" outlineLevel="0" collapsed="false">
      <c r="A7" s="65" t="s">
        <v>3109</v>
      </c>
      <c r="B7" s="14" t="s">
        <v>3110</v>
      </c>
    </row>
    <row r="8" customFormat="false" ht="15" hidden="false" customHeight="false" outlineLevel="0" collapsed="false">
      <c r="A8" s="65" t="s">
        <v>3111</v>
      </c>
      <c r="B8" s="14" t="s">
        <v>3112</v>
      </c>
    </row>
    <row r="9" customFormat="false" ht="15" hidden="false" customHeight="false" outlineLevel="0" collapsed="false">
      <c r="A9" s="65" t="s">
        <v>3113</v>
      </c>
      <c r="B9" s="14" t="s">
        <v>3114</v>
      </c>
    </row>
    <row r="10" customFormat="false" ht="15" hidden="false" customHeight="false" outlineLevel="0" collapsed="false">
      <c r="A10" s="65" t="s">
        <v>3115</v>
      </c>
      <c r="B10" s="14" t="s">
        <v>3116</v>
      </c>
    </row>
    <row r="11" customFormat="false" ht="15" hidden="false" customHeight="false" outlineLevel="0" collapsed="false">
      <c r="A11" s="65" t="s">
        <v>3117</v>
      </c>
      <c r="B11" s="14" t="s">
        <v>3118</v>
      </c>
    </row>
    <row r="12" customFormat="false" ht="23.85" hidden="false" customHeight="false" outlineLevel="0" collapsed="false">
      <c r="A12" s="65" t="s">
        <v>3119</v>
      </c>
      <c r="B12" s="14" t="s">
        <v>3120</v>
      </c>
    </row>
    <row r="13" customFormat="false" ht="15" hidden="false" customHeight="false" outlineLevel="0" collapsed="false">
      <c r="A13" s="65" t="s">
        <v>3121</v>
      </c>
      <c r="B13" s="14" t="s">
        <v>3122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2026-09-26T02:05:36Z</dcterms:created>
  <dc:creator>openpyxl</dc:creator>
  <dc:description/>
  <dc:language>en-US</dc:language>
  <cp:lastModifiedBy/>
  <dcterms:modified xsi:type="dcterms:W3CDTF">2026-09-26T02:05:39Z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