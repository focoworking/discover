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4.xml.rels" ContentType="application/vnd.openxmlformats-package.relationships+xml"/>
  <Override PartName="/xl/pivotTables/_rels/pivotTable3.xml.rels" ContentType="application/vnd.openxmlformats-package.relationships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men" sheetId="1" state="visible" r:id="rId3"/>
    <sheet name="Prospectos" sheetId="2" state="visible" r:id="rId4"/>
    <sheet name="TD_Area_Web" sheetId="3" state="visible" r:id="rId5"/>
    <sheet name="TD_Industria_Web" sheetId="4" state="visible" r:id="rId6"/>
    <sheet name="TD_Legal_Prioridad" sheetId="5" state="visible" r:id="rId7"/>
    <sheet name="TD_Redes" sheetId="6" state="visible" r:id="rId8"/>
    <sheet name="Parametros" sheetId="7" state="visible" r:id="rId9"/>
    <sheet name="Oportunidad_Industria" sheetId="8" state="visible" r:id="rId10"/>
    <sheet name="Macro_Areas" sheetId="9" state="visible" r:id="rId11"/>
    <sheet name="Adopcion_Digital" sheetId="10" state="visible" r:id="rId12"/>
    <sheet name="Google_Ads" sheetId="11" state="visible" r:id="rId13"/>
    <sheet name="Legal_Cumplimiento" sheetId="12" state="visible" r:id="rId14"/>
    <sheet name="Metodologia" sheetId="13" state="visible" r:id="rId15"/>
  </sheets>
  <definedNames>
    <definedName function="false" hidden="true" localSheetId="1" name="_xlnm._FilterDatabase" vbProcedure="false">Prospectos!$A$4:$W$99</definedName>
  </definedNames>
  <calcPr iterateCount="100" refMode="A1" iterate="false" iterateDelta="0.0001"/>
  <pivotCaches>
    <pivotCache cacheId="1" r:id="rId17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<sst xmlns="http://schemas.openxmlformats.org/spreadsheetml/2006/main" count="1952" uniqueCount="864">
  <si>
    <t xml:space="preserve">Oportunidad digital – Miami-Dade y Broward</t>
  </si>
  <si>
    <t xml:space="preserve">Empresas establecidas sin web o con web obsoleta. Tablas dinámicas en hojas TD_*. Septiembre 2026.</t>
  </si>
  <si>
    <t xml:space="preserve">Indicadores</t>
  </si>
  <si>
    <t xml:space="preserve">Por condado</t>
  </si>
  <si>
    <t xml:space="preserve">Mercado</t>
  </si>
  <si>
    <t xml:space="preserve">Prospectos identificados</t>
  </si>
  <si>
    <t xml:space="preserve">Miami-Dade</t>
  </si>
  <si>
    <t xml:space="preserve">Establecimientos Miami-Dade (CBP 2023)</t>
  </si>
  <si>
    <t xml:space="preserve">Sin sitio web</t>
  </si>
  <si>
    <t xml:space="preserve">Broward</t>
  </si>
  <si>
    <t xml:space="preserve">Establecimientos Broward (CBP 2022)</t>
  </si>
  <si>
    <t xml:space="preserve">Sitio obsoleto / desordenado</t>
  </si>
  <si>
    <t xml:space="preserve">Solicitudes de negocio FL 2024</t>
  </si>
  <si>
    <t xml:space="preserve">Brecha confirmada (%)</t>
  </si>
  <si>
    <t xml:space="preserve">Con brecha en Miami-Dade</t>
  </si>
  <si>
    <t xml:space="preserve">Pymes EE.UU. sin web (Clutch 2025)</t>
  </si>
  <si>
    <t xml:space="preserve">Prioridad A</t>
  </si>
  <si>
    <t xml:space="preserve">Con brecha en Broward</t>
  </si>
  <si>
    <t xml:space="preserve">Demandas ADA Title III FL 2025</t>
  </si>
  <si>
    <t xml:space="preserve">Pendientes de verificar web</t>
  </si>
  <si>
    <t xml:space="preserve">CPC promedio Google Ads 2025</t>
  </si>
  <si>
    <t xml:space="preserve">Hallazgos clave</t>
  </si>
  <si>
    <t xml:space="preserve">1. Medley, Hialeah y Doral concentran la brecha más valiosa: manufactura, transporte y distribución B2B con 10–100 empleados, décadas operando y presencia solo en directorios (BBB, Manta, Yelp).</t>
  </si>
  <si>
    <t xml:space="preserve">2. Transporte de carga (flotas de 55–66 camiones en Medley) y contratistas (Construct Group ~100 empleados con plantilla web sin editar) = prioridad A: ticket alto y competidores ya digitalizados.</t>
  </si>
  <si>
    <t xml:space="preserve">3. En la náutica de Fort Lauderdale la mayoría ya tiene web. La oportunidad está en talleres antiguos (desde 1976–1999) con solo BBB/Yelp y en rediseño de sitios básicos.</t>
  </si>
  <si>
    <t xml:space="preserve">4. HVAC, plomería y administración de propiedades (Davie, Sunrise, North Miami) muestran alta proporción de negocios sin dominio propio y CPL de Google Ads de $76–100: fácil demostrar ROI.</t>
  </si>
  <si>
    <t xml:space="preserve">5. Florida es 2.º estado en demandas ADA (1,823 en 2025): una web accesible (WCAG 2.2 AA) es un argumento de venta con riesgo legal cuantificable.</t>
  </si>
  <si>
    <t xml:space="preserve">6. Canal de contacto recomendado: email B2B 1 a 1 (CAN-SPAM) + visita presencial. Evitar llamadas/SMS automatizados (FTSA: $500–1,500 por violación).</t>
  </si>
  <si>
    <t xml:space="preserve">7. Escalamiento: datasets abiertos BTR de Miami-Dade/Broward + SFTP de Sunbiz permiten pasar de ~95 a miles de prospectos con verificación automática de dominio.</t>
  </si>
  <si>
    <t xml:space="preserve">Hojas: Prospectos · TD_Area_Web · TD_Industria_Web · TD_Legal_Prioridad · TD_Redes · Oportunidad_Industria · Macro_Areas · Adopcion_Digital · Google_Ads · Legal_Cumplimiento · Parametros · Metodologia</t>
  </si>
  <si>
    <t xml:space="preserve">Prospectos: empresas con brecha digital</t>
  </si>
  <si>
    <t xml:space="preserve">Fuente por fila. Columnas azules/amarillas = completar tras verificación en Sunbiz y Google Maps.</t>
  </si>
  <si>
    <t xml:space="preserve">ID</t>
  </si>
  <si>
    <t xml:space="preserve">Empresa</t>
  </si>
  <si>
    <t xml:space="preserve">Municipio</t>
  </si>
  <si>
    <t xml:space="preserve">Barrio/zona</t>
  </si>
  <si>
    <t xml:space="preserve">Condado</t>
  </si>
  <si>
    <t xml:space="preserve">Sector (detalle)</t>
  </si>
  <si>
    <t xml:space="preserve">NAICS</t>
  </si>
  <si>
    <t xml:space="preserve">Industria (NAICS)</t>
  </si>
  <si>
    <t xml:space="preserve">Forma legal</t>
  </si>
  <si>
    <t xml:space="preserve">Estado web</t>
  </si>
  <si>
    <t xml:space="preserve">Redes sociales</t>
  </si>
  <si>
    <t xml:space="preserve">Tiene redes</t>
  </si>
  <si>
    <t xml:space="preserve">Evidencia</t>
  </si>
  <si>
    <t xml:space="preserve">Fuente</t>
  </si>
  <si>
    <t xml:space="preserve">Empleados (est.)</t>
  </si>
  <si>
    <t xml:space="preserve">Año fundación</t>
  </si>
  <si>
    <t xml:space="preserve">Peso web</t>
  </si>
  <si>
    <t xml:space="preserve">Peso sector</t>
  </si>
  <si>
    <t xml:space="preserve">Señal tamaño</t>
  </si>
  <si>
    <t xml:space="preserve">Puntaje</t>
  </si>
  <si>
    <t xml:space="preserve">Prioridad</t>
  </si>
  <si>
    <t xml:space="preserve">Estado Sunbiz</t>
  </si>
  <si>
    <t xml:space="preserve">Próximo paso</t>
  </si>
  <si>
    <t xml:space="preserve">P001</t>
  </si>
  <si>
    <t xml:space="preserve">Jonel Knitting Mills Inc</t>
  </si>
  <si>
    <t xml:space="preserve">Hialeah</t>
  </si>
  <si>
    <t xml:space="preserve">Manufactura textil (tejidos de punto)</t>
  </si>
  <si>
    <t xml:space="preserve">31</t>
  </si>
  <si>
    <t xml:space="preserve">31-33 Manufactura</t>
  </si>
  <si>
    <t xml:space="preserve">Inc</t>
  </si>
  <si>
    <t xml:space="preserve">Ninguna encontrada</t>
  </si>
  <si>
    <t xml:space="preserve">No</t>
  </si>
  <si>
    <t xml:space="preserve">Manta: fundada 1987, ~25 empleados; sin web ni Facebook</t>
  </si>
  <si>
    <t xml:space="preserve">https://www.manta.com/c/mmn1h0x/jonel-knitting-mills-inc</t>
  </si>
  <si>
    <t xml:space="preserve">Pendiente</t>
  </si>
  <si>
    <t xml:space="preserve">P002</t>
  </si>
  <si>
    <t xml:space="preserve">Steel Works Rebar Fabricators LLC</t>
  </si>
  <si>
    <t xml:space="preserve">Medley</t>
  </si>
  <si>
    <t xml:space="preserve">Fabricación de acero/varilla</t>
  </si>
  <si>
    <t xml:space="preserve">33</t>
  </si>
  <si>
    <t xml:space="preserve">LLC</t>
  </si>
  <si>
    <t xml:space="preserve">Facebook</t>
  </si>
  <si>
    <t xml:space="preserve">Sí</t>
  </si>
  <si>
    <t xml:space="preserve">Est. 2007, 10-19 empleados; solo directorios y Facebook</t>
  </si>
  <si>
    <t xml:space="preserve">https://www.manta.com/c/mmcwr0p/steel-works-rebar-fabricators-llc</t>
  </si>
  <si>
    <t xml:space="preserve">P003</t>
  </si>
  <si>
    <t xml:space="preserve">All Welding and Machine Shop Inc</t>
  </si>
  <si>
    <t xml:space="preserve">Soldadura/taller industrial</t>
  </si>
  <si>
    <t xml:space="preserve">Solo YellowPages, Superpages, Manta, Waze</t>
  </si>
  <si>
    <t xml:space="preserve">https://www.yellowpages.com/medley-fl/mip/all-welding-and-machine-shop-inc-474064250</t>
  </si>
  <si>
    <t xml:space="preserve">P004</t>
  </si>
  <si>
    <t xml:space="preserve">Hialeah Plumbing Supply Company</t>
  </si>
  <si>
    <t xml:space="preserve">Distribución suministros de plomería</t>
  </si>
  <si>
    <t xml:space="preserve">42</t>
  </si>
  <si>
    <t xml:space="preserve">42 Comercio mayorista</t>
  </si>
  <si>
    <t xml:space="preserve">Corp</t>
  </si>
  <si>
    <t xml:space="preserve">Sunbiz: registrada 05/17/1989, Active | Forma legal fuente: Corp (Sunbiz: Florida Profit Corp)</t>
  </si>
  <si>
    <t xml:space="preserve">https://search.sunbiz.org/Inquiry/CorporationSearch/ByName</t>
  </si>
  <si>
    <t xml:space="preserve">Active</t>
  </si>
  <si>
    <t xml:space="preserve">P005</t>
  </si>
  <si>
    <t xml:space="preserve">Florida Paving &amp; Trucking Inc</t>
  </si>
  <si>
    <t xml:space="preserve">Homestead</t>
  </si>
  <si>
    <t xml:space="preserve">Pavimentación/movimiento de tierra</t>
  </si>
  <si>
    <t xml:space="preserve">23</t>
  </si>
  <si>
    <t xml:space="preserve">23 Construcción y oficios</t>
  </si>
  <si>
    <t xml:space="preserve">Nextdoor</t>
  </si>
  <si>
    <t xml:space="preserve">Est. 1992; solo BBB, D&amp;B, Manta, Yelp, Procore</t>
  </si>
  <si>
    <t xml:space="preserve">https://www.bbb.org/us/fl/homestead/profile/paving-contractors/florida-paving-trucking-inc-0633-5003759</t>
  </si>
  <si>
    <t xml:space="preserve">P006</t>
  </si>
  <si>
    <t xml:space="preserve">Marante Forwarding Co Inc</t>
  </si>
  <si>
    <t xml:space="preserve">Logística - freight forwarding</t>
  </si>
  <si>
    <t xml:space="preserve">48</t>
  </si>
  <si>
    <t xml:space="preserve">48-49 Transporte y logística</t>
  </si>
  <si>
    <t xml:space="preserve">Est. 1970; licencia OTI revocada 2003: verificar Sunbiz | Forma legal fuente: Inc (posible inactiva)</t>
  </si>
  <si>
    <t xml:space="preserve">https://www.manta.com/c/mm2vydb/marante-forwarding-co-inc</t>
  </si>
  <si>
    <t xml:space="preserve">Verificar Sunbiz (posible inactiva)</t>
  </si>
  <si>
    <t xml:space="preserve">P007</t>
  </si>
  <si>
    <t xml:space="preserve">Truck Brokerage by National Inc</t>
  </si>
  <si>
    <t xml:space="preserve">Transporte de carga (roca/arena)</t>
  </si>
  <si>
    <t xml:space="preserve">Sitio obsoleto</t>
  </si>
  <si>
    <t xml:space="preserve">Est. 1986, 55 camiones (FMCSA); web http sin HTTPS, páginas .html estáticas</t>
  </si>
  <si>
    <t xml:space="preserve">http://www.truckbrokeragebynational.com/</t>
  </si>
  <si>
    <t xml:space="preserve">P008</t>
  </si>
  <si>
    <t xml:space="preserve">Construct Group Corp</t>
  </si>
  <si>
    <t xml:space="preserve">Hialeah Gardens</t>
  </si>
  <si>
    <t xml:space="preserve">Contratista civil (FDOT)</t>
  </si>
  <si>
    <t xml:space="preserve">Yelp</t>
  </si>
  <si>
    <t xml:space="preserve">Est. 2001, ~100 empleados, 625 proyectos; título web 'HOME | My Site' (plantilla sin personalizar)</t>
  </si>
  <si>
    <t xml:space="preserve">https://www.constructgroupcorp.com/</t>
  </si>
  <si>
    <t xml:space="preserve">P009</t>
  </si>
  <si>
    <t xml:space="preserve">Professional Plumbing Corp</t>
  </si>
  <si>
    <t xml:space="preserve">Contratista de plomería comercial</t>
  </si>
  <si>
    <t xml:space="preserve">Desde 1973 (W Hotel, Fontainebleau); dos dominios, uno en http</t>
  </si>
  <si>
    <t xml:space="preserve">https://www.buildzoom.com/contractor/professional-plumbing-corp</t>
  </si>
  <si>
    <t xml:space="preserve">P010</t>
  </si>
  <si>
    <t xml:space="preserve">AA Florida Pallets Inc</t>
  </si>
  <si>
    <t xml:space="preserve">Fabricación/reciclaje de paletas</t>
  </si>
  <si>
    <t xml:space="preserve">32</t>
  </si>
  <si>
    <t xml:space="preserve">Título web con errata 'Welcom to AA Florida Pallets'</t>
  </si>
  <si>
    <t xml:space="preserve">https://www.manta.com/c/mhx9tn8/aa-florida-pallets-inc</t>
  </si>
  <si>
    <t xml:space="preserve">P011</t>
  </si>
  <si>
    <t xml:space="preserve">High Quality Trucking Inc</t>
  </si>
  <si>
    <t xml:space="preserve">Transporte de carga/contenedores</t>
  </si>
  <si>
    <t xml:space="preserve">Est. 2006, 66 camiones; dominio no coincide con la marca</t>
  </si>
  <si>
    <t xml:space="preserve">https://www.carriersource.io/carriers/high-quality-trucking-inc</t>
  </si>
  <si>
    <t xml:space="preserve">P012</t>
  </si>
  <si>
    <t xml:space="preserve">Hialeah Bakery and Foods Inc</t>
  </si>
  <si>
    <t xml:space="preserve">Panadería</t>
  </si>
  <si>
    <t xml:space="preserve">Tiene web (auditar)</t>
  </si>
  <si>
    <t xml:space="preserve">Est. 1996, 24h; contacto con Gmail (señal de baja madurez digital)</t>
  </si>
  <si>
    <t xml:space="preserve">https://www.facebook.com/hialeahbakery/</t>
  </si>
  <si>
    <t xml:space="preserve">P013</t>
  </si>
  <si>
    <t xml:space="preserve">Los Tres Conejitos Bakery</t>
  </si>
  <si>
    <t xml:space="preserve">No verificado</t>
  </si>
  <si>
    <t xml:space="preserve">Est. 2001, familiar; solo Yelp</t>
  </si>
  <si>
    <t xml:space="preserve">https://www.yelp.com/biz/los-tres-conejitos-bakery-hialeah</t>
  </si>
  <si>
    <t xml:space="preserve">P014</t>
  </si>
  <si>
    <t xml:space="preserve">Tango Body Shop</t>
  </si>
  <si>
    <t xml:space="preserve">Automotriz - carrocería</t>
  </si>
  <si>
    <t xml:space="preserve">81</t>
  </si>
  <si>
    <t xml:space="preserve">81 Servicios (auto, náutico, reparación)</t>
  </si>
  <si>
    <t xml:space="preserve">20+ años; solo Yelp</t>
  </si>
  <si>
    <t xml:space="preserve">https://www.yelp.com/biz/tango-body-shop-hialeah</t>
  </si>
  <si>
    <t xml:space="preserve">P015</t>
  </si>
  <si>
    <t xml:space="preserve">Pro Collision Center LLC</t>
  </si>
  <si>
    <t xml:space="preserve">Presencia desordenada</t>
  </si>
  <si>
    <t xml:space="preserve">Yelp; BBB</t>
  </si>
  <si>
    <t xml:space="preserve">Desde 2008, I-Car Gold; dos dominios distintos</t>
  </si>
  <si>
    <t xml:space="preserve">https://www.bbb.org/us/fl/hialeah/profile/auto-body-repair-and-painting/procollision-center-llc-0633-90024812</t>
  </si>
  <si>
    <t xml:space="preserve">P016</t>
  </si>
  <si>
    <t xml:space="preserve">Sari Express Forwarders Inc</t>
  </si>
  <si>
    <t xml:space="preserve">Solo Manta</t>
  </si>
  <si>
    <t xml:space="preserve">https://www.manta.com/c/mm43fmb/sari-express-forwarders-inc</t>
  </si>
  <si>
    <t xml:space="preserve">P017</t>
  </si>
  <si>
    <t xml:space="preserve">Global Cargo Connection Inc</t>
  </si>
  <si>
    <t xml:space="preserve">Logística - consolidación de carga</t>
  </si>
  <si>
    <t xml:space="preserve">Categoría Freight Forwarding Manta Hialeah</t>
  </si>
  <si>
    <t xml:space="preserve">https://www.manta.com/mb_55_B52DB05K_33S/freight_forwarding/hialeah_fl</t>
  </si>
  <si>
    <t xml:space="preserve">P018</t>
  </si>
  <si>
    <t xml:space="preserve">Marante Distributors Corp</t>
  </si>
  <si>
    <t xml:space="preserve">Distribución mayorista</t>
  </si>
  <si>
    <t xml:space="preserve">Solo Yahoo Local</t>
  </si>
  <si>
    <t xml:space="preserve">https://local.yahoo.com/info-211983306-marante-distributors-corp-hialeah/</t>
  </si>
  <si>
    <t xml:space="preserve">P019</t>
  </si>
  <si>
    <t xml:space="preserve">Medina &amp; Son Plumbing Supply Inc</t>
  </si>
  <si>
    <t xml:space="preserve">Facebook; Yelp</t>
  </si>
  <si>
    <t xml:space="preserve">Desde 1987, 84+ reseñas</t>
  </si>
  <si>
    <t xml:space="preserve">https://www.yelp.com/biz/medina-and-son-plumbing-supply-hialeah</t>
  </si>
  <si>
    <t xml:space="preserve">P020</t>
  </si>
  <si>
    <t xml:space="preserve">Manny's Plumbing Service</t>
  </si>
  <si>
    <t xml:space="preserve">Plomería</t>
  </si>
  <si>
    <t xml:space="preserve">Manta: est. 1993</t>
  </si>
  <si>
    <t xml:space="preserve">https://www.manta.com/c/mmf1sbc/manny-s-plumbing-service</t>
  </si>
  <si>
    <t xml:space="preserve">P021</t>
  </si>
  <si>
    <t xml:space="preserve">All Star Aluminum Windows &amp; Doors Inc</t>
  </si>
  <si>
    <t xml:space="preserve">Ventanas/puertas de aluminio</t>
  </si>
  <si>
    <t xml:space="preserve">Facebook; Yelp; Nextdoor</t>
  </si>
  <si>
    <t xml:space="preserve">Fundada 2003</t>
  </si>
  <si>
    <t xml:space="preserve">https://www.bbb.org/us/fl/hialeah/profile/impact-windows/all-star-aluminum-windows-doors-inc-0633-90034252</t>
  </si>
  <si>
    <t xml:space="preserve">P022</t>
  </si>
  <si>
    <t xml:space="preserve">Panther &amp; Co Inc</t>
  </si>
  <si>
    <t xml:space="preserve">Transporte y almacenaje</t>
  </si>
  <si>
    <t xml:space="preserve">Facebook; Instagram</t>
  </si>
  <si>
    <t xml:space="preserve">Est. 1989, ~17 empleados, ~$2.7M</t>
  </si>
  <si>
    <t xml:space="preserve">https://www.manta.com/c/mtqlxt4/panther-co-inc</t>
  </si>
  <si>
    <t xml:space="preserve">P023</t>
  </si>
  <si>
    <t xml:space="preserve">Medley Steel and Supply Inc</t>
  </si>
  <si>
    <t xml:space="preserve">Distribución de acero</t>
  </si>
  <si>
    <t xml:space="preserve">LinkedIn</t>
  </si>
  <si>
    <t xml:space="preserve">Desde 1978, exporta Caribe/LatAm</t>
  </si>
  <si>
    <t xml:space="preserve">https://www.yellowpages.com/medley-fl/medley-steel-and-supply-inc</t>
  </si>
  <si>
    <t xml:space="preserve">P024</t>
  </si>
  <si>
    <t xml:space="preserve">Amigo Pallets Inc</t>
  </si>
  <si>
    <t xml:space="preserve">Est. 2010; IG 172 seguidores</t>
  </si>
  <si>
    <t xml:space="preserve">https://www.facebook.com/amigopallets/</t>
  </si>
  <si>
    <t xml:space="preserve">P025</t>
  </si>
  <si>
    <t xml:space="preserve">Medley Machine Shop Inc</t>
  </si>
  <si>
    <t xml:space="preserve">Taller mecánico industrial</t>
  </si>
  <si>
    <t xml:space="preserve">Fundada 1994; dominio sin confirmar</t>
  </si>
  <si>
    <t xml:space="preserve">https://www.dnb.com/business-directory/company-profiles.medley_machine_shop_inc.b0232bd608d5d99948dd3a3504105627.html</t>
  </si>
  <si>
    <t xml:space="preserve">P026</t>
  </si>
  <si>
    <t xml:space="preserve">Pablo's Machine Shop &amp; Welding Corp</t>
  </si>
  <si>
    <t xml:space="preserve">Maquinado/soldadura industrial</t>
  </si>
  <si>
    <t xml:space="preserve">Incorporada 2012; dos dominios distintos</t>
  </si>
  <si>
    <t xml:space="preserve">https://www.yelp.com/biz/pablos-machine-shop-and-welding-corp-medley</t>
  </si>
  <si>
    <t xml:space="preserve">P027</t>
  </si>
  <si>
    <t xml:space="preserve">Gondia Machine Shop</t>
  </si>
  <si>
    <t xml:space="preserve">https://www.manta.com/c/mm4dqwp/gondia-machine-shop</t>
  </si>
  <si>
    <t xml:space="preserve">P028</t>
  </si>
  <si>
    <t xml:space="preserve">Super Diesel Truck Repair Inc</t>
  </si>
  <si>
    <t xml:space="preserve">Reparación camiones diésel</t>
  </si>
  <si>
    <t xml:space="preserve">Yelp; Birdeye</t>
  </si>
  <si>
    <t xml:space="preserve">3.5 estrellas / 13 reseñas</t>
  </si>
  <si>
    <t xml:space="preserve">https://www.manta.com/c/mhcrbf8/super-diesel-truck-repair-inc</t>
  </si>
  <si>
    <t xml:space="preserve">P029</t>
  </si>
  <si>
    <t xml:space="preserve">LaRosa Diesel Mechanical</t>
  </si>
  <si>
    <t xml:space="preserve">Solo Yelp</t>
  </si>
  <si>
    <t xml:space="preserve">https://www.yelp.com/biz/larosa-diesel-mechanical-medley</t>
  </si>
  <si>
    <t xml:space="preserve">P030</t>
  </si>
  <si>
    <t xml:space="preserve">CYMA Truck Repair</t>
  </si>
  <si>
    <t xml:space="preserve">https://www.yelp.com/biz/cyma-truck-repair-medley</t>
  </si>
  <si>
    <t xml:space="preserve">P031</t>
  </si>
  <si>
    <t xml:space="preserve">International Cruise Food &amp; Hotel Suppliers Inc</t>
  </si>
  <si>
    <t xml:space="preserve">Distribución alimentaria a cruceros</t>
  </si>
  <si>
    <t xml:space="preserve">Nextdoor; Indeed</t>
  </si>
  <si>
    <t xml:space="preserve">Inc. 1998, almacén 200,000 ft²</t>
  </si>
  <si>
    <t xml:space="preserve">https://www.manta.com/c/mm21vw1/international-cruise-food-hotel-suppliers-inc</t>
  </si>
  <si>
    <t xml:space="preserve">P032</t>
  </si>
  <si>
    <t xml:space="preserve">Allsteel &amp; Gypsum Products Inc</t>
  </si>
  <si>
    <t xml:space="preserve">Distribución materiales de construcción</t>
  </si>
  <si>
    <t xml:space="preserve">URL /index.html: sitio estático antiguo (no confirmado)</t>
  </si>
  <si>
    <t xml:space="preserve">https://www.allsteelproducts.com/index.html</t>
  </si>
  <si>
    <t xml:space="preserve">P033</t>
  </si>
  <si>
    <t xml:space="preserve">Structural Prestressed Industries Inc</t>
  </si>
  <si>
    <t xml:space="preserve">Prefabricados de concreto</t>
  </si>
  <si>
    <t xml:space="preserve">Est. 1996, gran prefabricadora</t>
  </si>
  <si>
    <t xml:space="preserve">https://buildingrenewable.com/12-best-precast-concrete-construction-companies-in-florida/</t>
  </si>
  <si>
    <t xml:space="preserve">P034</t>
  </si>
  <si>
    <t xml:space="preserve">Doral Freight Logistics Inc</t>
  </si>
  <si>
    <t xml:space="preserve">Doral</t>
  </si>
  <si>
    <t xml:space="preserve">Logística - transporte</t>
  </si>
  <si>
    <t xml:space="preserve">Est. 1999, ~50 empleados, ~$9.4M</t>
  </si>
  <si>
    <t xml:space="preserve">https://www.manta.com/c/mm33hkb/doral-freight-logistics-inc</t>
  </si>
  <si>
    <t xml:space="preserve">P035</t>
  </si>
  <si>
    <t xml:space="preserve">Senaduana Freight Forwarders Inc</t>
  </si>
  <si>
    <t xml:space="preserve">Facebook; LinkedIn; Yelp</t>
  </si>
  <si>
    <t xml:space="preserve">Est. 2004</t>
  </si>
  <si>
    <t xml:space="preserve">https://www.manta.com/c/mmgmgjl/senaduana-freight-forwarders-inc</t>
  </si>
  <si>
    <t xml:space="preserve">P036</t>
  </si>
  <si>
    <t xml:space="preserve">Conavenca Freight Forwarder LLC</t>
  </si>
  <si>
    <t xml:space="preserve">https://www.manta.com/c/mhks6tw/conavenca-freight-forwarder-llc</t>
  </si>
  <si>
    <t xml:space="preserve">P037</t>
  </si>
  <si>
    <t xml:space="preserve">TMC Import &amp; Export Co</t>
  </si>
  <si>
    <t xml:space="preserve">Import/export (embalaje y equipos)</t>
  </si>
  <si>
    <t xml:space="preserve">Est. 1981, ~11 empleados, ~$2.4M | Forma legal fuente: LLC (según YP)</t>
  </si>
  <si>
    <t xml:space="preserve">https://www.manta.com/c/mbg66v7/tmc-import-export-co</t>
  </si>
  <si>
    <t xml:space="preserve">P038</t>
  </si>
  <si>
    <t xml:space="preserve">Barahona's Food Distributor LLC</t>
  </si>
  <si>
    <t xml:space="preserve">Distribución de alimentos</t>
  </si>
  <si>
    <t xml:space="preserve">Solo Bizapedia</t>
  </si>
  <si>
    <t xml:space="preserve">https://www.bizapedia.com/fl/barahonas-food-distributor-llc.html</t>
  </si>
  <si>
    <t xml:space="preserve">P039</t>
  </si>
  <si>
    <t xml:space="preserve">Loman Distributors Inc</t>
  </si>
  <si>
    <t xml:space="preserve">https://www.bizapedia.com/fl/loman-distributors-inc.html</t>
  </si>
  <si>
    <t xml:space="preserve">P040</t>
  </si>
  <si>
    <t xml:space="preserve">K &amp; K Dental Associates</t>
  </si>
  <si>
    <t xml:space="preserve">Clínica dental</t>
  </si>
  <si>
    <t xml:space="preserve">62</t>
  </si>
  <si>
    <t xml:space="preserve">62 Salud</t>
  </si>
  <si>
    <t xml:space="preserve">Solo Facebook</t>
  </si>
  <si>
    <t xml:space="preserve">https://www.facebook.com/kkdentaldoral/</t>
  </si>
  <si>
    <t xml:space="preserve">P041</t>
  </si>
  <si>
    <t xml:space="preserve">Doral Family Dental</t>
  </si>
  <si>
    <t xml:space="preserve">https://www.facebook.com/doralfamilydentalfl/</t>
  </si>
  <si>
    <t xml:space="preserve">P042</t>
  </si>
  <si>
    <t xml:space="preserve">Brothers Produce Inc</t>
  </si>
  <si>
    <t xml:space="preserve">Miami (ciudad)</t>
  </si>
  <si>
    <t xml:space="preserve">Allapattah</t>
  </si>
  <si>
    <t xml:space="preserve">Mayorista frutas y verduras</t>
  </si>
  <si>
    <t xml:space="preserve">Fundada 1990; sin Facebook propio</t>
  </si>
  <si>
    <t xml:space="preserve">https://www.bbb.org/us/fl/miami/profile/organic-food/brothers-produce-inc-0633-90067698</t>
  </si>
  <si>
    <t xml:space="preserve">P043</t>
  </si>
  <si>
    <t xml:space="preserve">4 U Unlimited</t>
  </si>
  <si>
    <t xml:space="preserve">https://www.yelp.com/biz/4-u-unlimited-miami</t>
  </si>
  <si>
    <t xml:space="preserve">P044</t>
  </si>
  <si>
    <t xml:space="preserve">Excellent Fruit &amp; Produce Inc</t>
  </si>
  <si>
    <t xml:space="preserve">Almacén refrigerado y flota propia</t>
  </si>
  <si>
    <t xml:space="preserve">https://excellentfruitandproduce.com/about-us/</t>
  </si>
  <si>
    <t xml:space="preserve">P045</t>
  </si>
  <si>
    <t xml:space="preserve">Martinez Distributors Inc</t>
  </si>
  <si>
    <t xml:space="preserve">Mayorista carnes y mariscos</t>
  </si>
  <si>
    <t xml:space="preserve">Desde 1997, 3 tiendas, planta USDA</t>
  </si>
  <si>
    <t xml:space="preserve">https://www.yelp.com/biz/martinez-distributors-miami-2</t>
  </si>
  <si>
    <t xml:space="preserve">P046</t>
  </si>
  <si>
    <t xml:space="preserve">El Rey de las Fritas</t>
  </si>
  <si>
    <t xml:space="preserve">Little Havana</t>
  </si>
  <si>
    <t xml:space="preserve">Restaurante</t>
  </si>
  <si>
    <t xml:space="preserve">72</t>
  </si>
  <si>
    <t xml:space="preserve">72 Restaurantes/hotelería</t>
  </si>
  <si>
    <t xml:space="preserve">Cadena local desde 1982</t>
  </si>
  <si>
    <t xml:space="preserve">https://www.facebook.com/reydelasfritas/</t>
  </si>
  <si>
    <t xml:space="preserve">P047</t>
  </si>
  <si>
    <t xml:space="preserve">El Exquisito Restaurant</t>
  </si>
  <si>
    <t xml:space="preserve">Familia Coro desde 1974 en Calle Ocho</t>
  </si>
  <si>
    <t xml:space="preserve">https://www.neighborhoods.com/blog/cuban-restaurants-in-little-havana-you-cant-miss</t>
  </si>
  <si>
    <t xml:space="preserve">P048</t>
  </si>
  <si>
    <t xml:space="preserve">Kendale Air Conditioning Inc</t>
  </si>
  <si>
    <t xml:space="preserve">Kendall</t>
  </si>
  <si>
    <t xml:space="preserve">HVAC</t>
  </si>
  <si>
    <t xml:space="preserve">Desde 1988; BBB 2014</t>
  </si>
  <si>
    <t xml:space="preserve">https://www.bbb.org/us/fl/miami/profile/heating-and-air-conditioning/kendale-air-conditioning-0633-23009691</t>
  </si>
  <si>
    <t xml:space="preserve">P049</t>
  </si>
  <si>
    <t xml:space="preserve">Kendall South Medical Center Inc</t>
  </si>
  <si>
    <t xml:space="preserve">Clínica médica</t>
  </si>
  <si>
    <t xml:space="preserve">Solo directorio WebMD</t>
  </si>
  <si>
    <t xml:space="preserve">https://doctor.webmd.com/practice/kendall-south-medical-center-inc-422a0a48-1a37-46b1-973c-95ba062d11e3</t>
  </si>
  <si>
    <t xml:space="preserve">P050</t>
  </si>
  <si>
    <t xml:space="preserve">Kendall Medical Center Inc</t>
  </si>
  <si>
    <t xml:space="preserve">https://doctor.webmd.com/practice/kendall-medical-center-inc-773643c8-4703-e211-a42b-001f29e3eb44-physicians/alpha/all</t>
  </si>
  <si>
    <t xml:space="preserve">P051</t>
  </si>
  <si>
    <t xml:space="preserve">Krome Auto and Tire Inc</t>
  </si>
  <si>
    <t xml:space="preserve">Automotriz - taller/llantas</t>
  </si>
  <si>
    <t xml:space="preserve">BBB; Yelp; Birdeye</t>
  </si>
  <si>
    <t xml:space="preserve">Fundada 1992; 38 reseñas</t>
  </si>
  <si>
    <t xml:space="preserve">https://www.bbb.org/us/fl/homestead/profile/auto-repair/krome-auto-tire-svc-0633-90269976</t>
  </si>
  <si>
    <t xml:space="preserve">P052</t>
  </si>
  <si>
    <t xml:space="preserve">R Plants Inc</t>
  </si>
  <si>
    <t xml:space="preserve">Vivero mayorista</t>
  </si>
  <si>
    <t xml:space="preserve">11</t>
  </si>
  <si>
    <t xml:space="preserve">11 Agricultura/viveros</t>
  </si>
  <si>
    <t xml:space="preserve">Est. 1997, 180+ acres</t>
  </si>
  <si>
    <t xml:space="preserve">https://www.facebook.com/rplantsinc/</t>
  </si>
  <si>
    <t xml:space="preserve">P053</t>
  </si>
  <si>
    <t xml:space="preserve">Liner Growers Nursery</t>
  </si>
  <si>
    <t xml:space="preserve">Solo Manta; 10+ años</t>
  </si>
  <si>
    <t xml:space="preserve">https://www.manta.com/c/mvvd9cj/liner-growers-nursery</t>
  </si>
  <si>
    <t xml:space="preserve">P054</t>
  </si>
  <si>
    <t xml:space="preserve">Manuel Diaz Farms Inc</t>
  </si>
  <si>
    <t xml:space="preserve">Categoría Wholesale Nurseries Manta</t>
  </si>
  <si>
    <t xml:space="preserve">https://www.manta.com/mb_55_B80C105M_345/nursery_stock/homestead_fl</t>
  </si>
  <si>
    <t xml:space="preserve">P055</t>
  </si>
  <si>
    <t xml:space="preserve">Quality Growers Inc</t>
  </si>
  <si>
    <t xml:space="preserve">P056</t>
  </si>
  <si>
    <t xml:space="preserve">Medallion Nurseries</t>
  </si>
  <si>
    <t xml:space="preserve">P057</t>
  </si>
  <si>
    <t xml:space="preserve">Sam S. Accursio &amp; Sons Farms</t>
  </si>
  <si>
    <t xml:space="preserve">Agricultura/empacadora</t>
  </si>
  <si>
    <t xml:space="preserve">Desde 1948, empacadora propia</t>
  </si>
  <si>
    <t xml:space="preserve">https://ediblesouthflorida.ediblecommunities.com/eat/fresh-demand-local-produce-longtime-homestead-farm/</t>
  </si>
  <si>
    <t xml:space="preserve">P058</t>
  </si>
  <si>
    <t xml:space="preserve">Sudsies Dry Cleaners</t>
  </si>
  <si>
    <t xml:space="preserve">Miami Beach</t>
  </si>
  <si>
    <t xml:space="preserve">Tintorería</t>
  </si>
  <si>
    <t xml:space="preserve">Est. 1996; 244 reseñas Yelp</t>
  </si>
  <si>
    <t xml:space="preserve">https://www.yelp.com/biz/sudsies-dry-cleaners-miami-beach</t>
  </si>
  <si>
    <t xml:space="preserve">P059</t>
  </si>
  <si>
    <t xml:space="preserve">Complete Yacht Service</t>
  </si>
  <si>
    <t xml:space="preserve">Fort Lauderdale</t>
  </si>
  <si>
    <t xml:space="preserve">Náutico - motores/partes y servicio</t>
  </si>
  <si>
    <t xml:space="preserve">Est. 1976, ~6 empleados, ~$1.3M ventas (Manta); búsqueda por nombre solo devuelve Facebook/Yelp | Forma legal fuente: Inc (Manta; no verificado en Sunbiz)</t>
  </si>
  <si>
    <t xml:space="preserve">https://www.yelp.com/biz/complete-yacht-service-fort-lauderdale</t>
  </si>
  <si>
    <t xml:space="preserve">P060</t>
  </si>
  <si>
    <t xml:space="preserve">Superior Stainless &amp; Yacht Repair</t>
  </si>
  <si>
    <t xml:space="preserve">Náutico - soldadura/inox yates</t>
  </si>
  <si>
    <t xml:space="preserve">BBB A+, desde 1993; solo directorios</t>
  </si>
  <si>
    <t xml:space="preserve">https://www.bbb.org/us/fl/ft-lauderdale/profile/boat-repair/superior-stainless-yacht-repair-0633-11011513</t>
  </si>
  <si>
    <t xml:space="preserve">P061</t>
  </si>
  <si>
    <t xml:space="preserve">Top Quality Yachts Refinishing &amp; Refurbishing</t>
  </si>
  <si>
    <t xml:space="preserve">Náutico - pintura/refinish yates</t>
  </si>
  <si>
    <t xml:space="preserve">BBB, desde 1999; búsqueda por nombre solo devuelve BBB</t>
  </si>
  <si>
    <t xml:space="preserve">https://www.bbb.org/us/fl/fort-lauderdale/profile/boat-repair/top-quality-yachts-refinishing-refurbishing-0633-4006026</t>
  </si>
  <si>
    <t xml:space="preserve">P062</t>
  </si>
  <si>
    <t xml:space="preserve">Complete Yacht Care Inc</t>
  </si>
  <si>
    <t xml:space="preserve">Náutico - mantenimiento yates</t>
  </si>
  <si>
    <t xml:space="preserve">Fundada 2006; solo Manta y D&amp;B</t>
  </si>
  <si>
    <t xml:space="preserve">https://www.manta.com/c/mmn3jvb/complete-yacht-care-inc</t>
  </si>
  <si>
    <t xml:space="preserve">P063</t>
  </si>
  <si>
    <t xml:space="preserve">Ship Side Service Inc</t>
  </si>
  <si>
    <t xml:space="preserve">Náutico - servicios a yates</t>
  </si>
  <si>
    <t xml:space="preserve">BBB A+, ~22 años; registro estatal muestra CANCEL ADM DISS/REV: verificar en Sunbiz | Forma legal fuente: Inc (posible Admin. Dissolved)</t>
  </si>
  <si>
    <t xml:space="preserve">https://www.bbb.org/us/fl/fort-lauderdale/profile/boat-repair/ship-side-service-0633-22003092</t>
  </si>
  <si>
    <t xml:space="preserve">Inactive</t>
  </si>
  <si>
    <t xml:space="preserve">P064</t>
  </si>
  <si>
    <t xml:space="preserve">Shoreline Marine LLC</t>
  </si>
  <si>
    <t xml:space="preserve">Pompano Beach</t>
  </si>
  <si>
    <t xml:space="preserve">Náutico - reparación/refit</t>
  </si>
  <si>
    <t xml:space="preserve">Desde 2014; ficha Yelp no reclamada | Forma legal fuente: LLC (BBB)</t>
  </si>
  <si>
    <t xml:space="preserve">https://www.yelp.com/biz/shoreline-marine-pompano-beach</t>
  </si>
  <si>
    <t xml:space="preserve">P065</t>
  </si>
  <si>
    <t xml:space="preserve">Yacht Mechanics of Florida</t>
  </si>
  <si>
    <t xml:space="preserve">Náutico - mecánica/hidráulica</t>
  </si>
  <si>
    <t xml:space="preserve">42 años; sitio básico + página Genially: candidato a rediseño</t>
  </si>
  <si>
    <t xml:space="preserve">https://www.yelp.com/biz/yacht-mechanics-of-florida-fort-lauderdale</t>
  </si>
  <si>
    <t xml:space="preserve">P066</t>
  </si>
  <si>
    <t xml:space="preserve">Land &amp; Sea Air Conditioning of South Florida Inc</t>
  </si>
  <si>
    <t xml:space="preserve">Davie</t>
  </si>
  <si>
    <t xml:space="preserve">Desde 2008; solo directorios y Facebook</t>
  </si>
  <si>
    <t xml:space="preserve">https://www.manta.com/c/mb5d3rb/land-sea-air-conditioning-of</t>
  </si>
  <si>
    <t xml:space="preserve">P067</t>
  </si>
  <si>
    <t xml:space="preserve">Million Air Conditioning Corp</t>
  </si>
  <si>
    <t xml:space="preserve">Est. 2006, ~3 empleados; contratista certificado DBPR</t>
  </si>
  <si>
    <t xml:space="preserve">https://www.manta.com/c/mmym5vw/million-air-conditioning-corporation</t>
  </si>
  <si>
    <t xml:space="preserve">P068</t>
  </si>
  <si>
    <t xml:space="preserve">First Class Air Conditioning &amp; Appliance Inc</t>
  </si>
  <si>
    <t xml:space="preserve">HVAC/electrodomésticos</t>
  </si>
  <si>
    <t xml:space="preserve">14+ años; fichas duplicadas, sin dominio propio claro</t>
  </si>
  <si>
    <t xml:space="preserve">https://www.bbb.org/us/fl/davie/profile/major-appliance-services/first-class-air-conditioning-appliance-inc-0633-90137525</t>
  </si>
  <si>
    <t xml:space="preserve">P069</t>
  </si>
  <si>
    <t xml:space="preserve">Pompano Beach Texaco</t>
  </si>
  <si>
    <t xml:space="preserve">Automotriz - taller/estación</t>
  </si>
  <si>
    <t xml:space="preserve">BBB: desde 1987</t>
  </si>
  <si>
    <t xml:space="preserve">https://www.bbb.org/us/fl/pompano-beach/profile/auto-repair/pompano-beach-texaco-0633-35000319</t>
  </si>
  <si>
    <t xml:space="preserve">P070</t>
  </si>
  <si>
    <t xml:space="preserve">Our Shop Auto Repairs Inc</t>
  </si>
  <si>
    <t xml:space="preserve">Automotriz - taller</t>
  </si>
  <si>
    <t xml:space="preserve">Facebook (x2); Yelp</t>
  </si>
  <si>
    <t xml:space="preserve">Desde 2009; sitio .us básico y Facebook duplicado</t>
  </si>
  <si>
    <t xml:space="preserve">https://www.bbb.org/us/fl/pompano-beach/profile/mobile-auto-repair/our-shop-auto-repairs-inc-0633-90426905</t>
  </si>
  <si>
    <t xml:space="preserve">P071</t>
  </si>
  <si>
    <t xml:space="preserve">Fast Lane Auto Repairs</t>
  </si>
  <si>
    <t xml:space="preserve">Solo listado BBB</t>
  </si>
  <si>
    <t xml:space="preserve">https://www.bbb.org/us/fl/pompano-beach/profile/auto-repair/fast-lane-auto-repairs-0633-90409985</t>
  </si>
  <si>
    <t xml:space="preserve">P072</t>
  </si>
  <si>
    <t xml:space="preserve">The Auto Spot</t>
  </si>
  <si>
    <t xml:space="preserve">https://www.bbb.org/us/fl/pompano-beach/profile/auto-repair/the-auto-spot-0633-90092971</t>
  </si>
  <si>
    <t xml:space="preserve">P073</t>
  </si>
  <si>
    <t xml:space="preserve">Original Look</t>
  </si>
  <si>
    <t xml:space="preserve">https://www.bbb.org/us/fl/pompano-beach/profile/auto-repair/original-look-0633-90132733</t>
  </si>
  <si>
    <t xml:space="preserve">P074</t>
  </si>
  <si>
    <t xml:space="preserve">Marina Road Boat Yard</t>
  </si>
  <si>
    <t xml:space="preserve">Náutico - boatyard</t>
  </si>
  <si>
    <t xml:space="preserve">Listado Manta</t>
  </si>
  <si>
    <t xml:space="preserve">https://www.manta.com/c/mh1g76d/marina-road-boat-yard</t>
  </si>
  <si>
    <t xml:space="preserve">P075</t>
  </si>
  <si>
    <t xml:space="preserve">Yachting Bliss</t>
  </si>
  <si>
    <t xml:space="preserve">Náutico - reparación</t>
  </si>
  <si>
    <t xml:space="preserve">https://www.manta.com/c/mm0jvj4/yachting-bliss</t>
  </si>
  <si>
    <t xml:space="preserve">P076</t>
  </si>
  <si>
    <t xml:space="preserve">Elite Yachting Solutions LLC</t>
  </si>
  <si>
    <t xml:space="preserve">Náutico - servicios</t>
  </si>
  <si>
    <t xml:space="preserve">https://www.manta.com/c/mkhwx2k/elite-yachting-solutions-llc</t>
  </si>
  <si>
    <t xml:space="preserve">P077</t>
  </si>
  <si>
    <t xml:space="preserve">S.A. Marine Services LLC</t>
  </si>
  <si>
    <t xml:space="preserve">Náutico - boat lifts</t>
  </si>
  <si>
    <t xml:space="preserve">Boat lifts en Palm Beach, Broward y Miami-Dade</t>
  </si>
  <si>
    <t xml:space="preserve">https://www.manta.com/c/m1xl2v5/s-a-marine-services-llc</t>
  </si>
  <si>
    <t xml:space="preserve">P078</t>
  </si>
  <si>
    <t xml:space="preserve">All Power Marine Boat Lifts &amp; Docks</t>
  </si>
  <si>
    <t xml:space="preserve">Náutico - lifts/docks</t>
  </si>
  <si>
    <t xml:space="preserve">https://www.manta.com/c/mm7f0xx/all-power-marine-boat-lifts-docks</t>
  </si>
  <si>
    <t xml:space="preserve">P079</t>
  </si>
  <si>
    <t xml:space="preserve">T&amp;D Air Conditioning Inc</t>
  </si>
  <si>
    <t xml:space="preserve">Manta: 30+ años</t>
  </si>
  <si>
    <t xml:space="preserve">https://www.manta.com/c/mr4tgvc/t-d-air-conditioning-inc</t>
  </si>
  <si>
    <t xml:space="preserve">P080</t>
  </si>
  <si>
    <t xml:space="preserve">CV AC Expert LLC</t>
  </si>
  <si>
    <t xml:space="preserve">https://www.manta.com/c/mhw02tp/cv-ac-expert-llc</t>
  </si>
  <si>
    <t xml:space="preserve">P081</t>
  </si>
  <si>
    <t xml:space="preserve">Ocean Freight Link</t>
  </si>
  <si>
    <t xml:space="preserve">Miramar</t>
  </si>
  <si>
    <t xml:space="preserve">Manta: ~$2.5M ventas, ~6 empleados</t>
  </si>
  <si>
    <t xml:space="preserve">https://www.manta.com/c/mtq3wsd/ocean-freight-link</t>
  </si>
  <si>
    <t xml:space="preserve">P082</t>
  </si>
  <si>
    <t xml:space="preserve">Promptus LLC</t>
  </si>
  <si>
    <t xml:space="preserve">https://www.manta.com/c/mmfvqs5/promptus-llc</t>
  </si>
  <si>
    <t xml:space="preserve">P083</t>
  </si>
  <si>
    <t xml:space="preserve">R K A Xpress Inc</t>
  </si>
  <si>
    <t xml:space="preserve">https://www.manta.com/c/mtry58n/r-k-a-xpress-inc</t>
  </si>
  <si>
    <t xml:space="preserve">P084</t>
  </si>
  <si>
    <t xml:space="preserve">J J Freight Brokerage Inc</t>
  </si>
  <si>
    <t xml:space="preserve">Logística - broker de carga</t>
  </si>
  <si>
    <t xml:space="preserve">https://www.manta.com/c/mt4210t/j-j-freight-brokerage-inc</t>
  </si>
  <si>
    <t xml:space="preserve">P085</t>
  </si>
  <si>
    <t xml:space="preserve">Markon Realty And Management Inc</t>
  </si>
  <si>
    <t xml:space="preserve">Sunrise</t>
  </si>
  <si>
    <t xml:space="preserve">Administración de propiedades</t>
  </si>
  <si>
    <t xml:space="preserve">53</t>
  </si>
  <si>
    <t xml:space="preserve">53 Inmobiliario/admin. propiedades</t>
  </si>
  <si>
    <t xml:space="preserve">Manta: est. 1990, ~11 empleados, ~$750k</t>
  </si>
  <si>
    <t xml:space="preserve">https://www.manta.com/c/mm08mz3/markon-realty-and-management-inc</t>
  </si>
  <si>
    <t xml:space="preserve">P086</t>
  </si>
  <si>
    <t xml:space="preserve">Three Js Management Corporation</t>
  </si>
  <si>
    <t xml:space="preserve">Manta: est. 2001, ~5 empleados</t>
  </si>
  <si>
    <t xml:space="preserve">https://www.manta.com/c/mw2lslb/three-js-management-corporation</t>
  </si>
  <si>
    <t xml:space="preserve">P087</t>
  </si>
  <si>
    <t xml:space="preserve">Lindsay-Taylor Property Management Inc</t>
  </si>
  <si>
    <t xml:space="preserve">Manta: est. 2015, ~7 empleados</t>
  </si>
  <si>
    <t xml:space="preserve">https://www.manta.com/c/mhkhbr0/lindsay-taylor-property-management-inc</t>
  </si>
  <si>
    <t xml:space="preserve">P088</t>
  </si>
  <si>
    <t xml:space="preserve">YMP Real Estate Management LLC</t>
  </si>
  <si>
    <t xml:space="preserve">Manta: est. 2015, ~2 empleados</t>
  </si>
  <si>
    <t xml:space="preserve">https://www.manta.com/c/mbybsr5/ymp-real-estate-management-llc</t>
  </si>
  <si>
    <t xml:space="preserve">P089</t>
  </si>
  <si>
    <t xml:space="preserve">Kryterion Property Services LLC</t>
  </si>
  <si>
    <t xml:space="preserve">https://www.manta.com/c/mkxpthn/kryterion-property-services-llc</t>
  </si>
  <si>
    <t xml:space="preserve">P090</t>
  </si>
  <si>
    <t xml:space="preserve">Lasseter Plumbing Company Inc</t>
  </si>
  <si>
    <t xml:space="preserve">North Miami</t>
  </si>
  <si>
    <t xml:space="preserve">Manta: ~$500k, ~7 empleados</t>
  </si>
  <si>
    <t xml:space="preserve">https://www.manta.com/d/mm2thx3/lasseter-plumbing-company-inc</t>
  </si>
  <si>
    <t xml:space="preserve">P091</t>
  </si>
  <si>
    <t xml:space="preserve">Rocco Plumbing Inc</t>
  </si>
  <si>
    <t xml:space="preserve">Manta: est. 2008</t>
  </si>
  <si>
    <t xml:space="preserve">https://www.manta.com/c/mtbtgz9/rocco-plumbing-inc</t>
  </si>
  <si>
    <t xml:space="preserve">P092</t>
  </si>
  <si>
    <t xml:space="preserve">Malu Plumbing Inc</t>
  </si>
  <si>
    <t xml:space="preserve">Manta: repiping, gas</t>
  </si>
  <si>
    <t xml:space="preserve">https://www.manta.com/c/mt4fd3r/malu-plumbing-inc</t>
  </si>
  <si>
    <t xml:space="preserve">P093</t>
  </si>
  <si>
    <t xml:space="preserve">Just Plumbing</t>
  </si>
  <si>
    <t xml:space="preserve">https://www.manta.com/c/mb04c42/just-plumbing</t>
  </si>
  <si>
    <t xml:space="preserve">P094</t>
  </si>
  <si>
    <t xml:space="preserve">Plumbing Experts</t>
  </si>
  <si>
    <t xml:space="preserve">North Miami Beach</t>
  </si>
  <si>
    <t xml:space="preserve">https://www.manta.com/c/mttg4zn/plumbing-experts</t>
  </si>
  <si>
    <t xml:space="preserve">P095</t>
  </si>
  <si>
    <t xml:space="preserve">New England Plumbing</t>
  </si>
  <si>
    <t xml:space="preserve">Miami Shores</t>
  </si>
  <si>
    <t xml:space="preserve">https://www.manta.com/c/mx0vyzw/new-england-plumbing</t>
  </si>
  <si>
    <t xml:space="preserve">Tabla dinámica: prospectos por condado, municipio y estado web</t>
  </si>
  <si>
    <t xml:space="preserve">Origen: hoja Prospectos. Clic derecho &gt; Actualizar tras editar datos. Filtros en la fila superior de la tabla.</t>
  </si>
  <si>
    <t xml:space="preserve">Filter</t>
  </si>
  <si>
    <t xml:space="preserve">Count - Empresa</t>
  </si>
  <si>
    <t xml:space="preserve">Total Result</t>
  </si>
  <si>
    <t xml:space="preserve">Tabla dinámica: industria × estado web (filtro: condado)</t>
  </si>
  <si>
    <t xml:space="preserve">- all -</t>
  </si>
  <si>
    <t xml:space="preserve">Tabla dinámica: forma legal × prioridad (filtro: condado)</t>
  </si>
  <si>
    <t xml:space="preserve">A</t>
  </si>
  <si>
    <t xml:space="preserve">B</t>
  </si>
  <si>
    <t xml:space="preserve">C</t>
  </si>
  <si>
    <t xml:space="preserve">Descartada</t>
  </si>
  <si>
    <t xml:space="preserve">Tabla dinámica: presencia en redes sociales × condado (filtro: industria)</t>
  </si>
  <si>
    <t xml:space="preserve">Parámetros del puntaje</t>
  </si>
  <si>
    <t xml:space="preserve">Azul = supuestos editables. El puntaje de Prospectos se recalcula al cambiarlos.</t>
  </si>
  <si>
    <t xml:space="preserve">Peso</t>
  </si>
  <si>
    <t xml:space="preserve">Puntaje mínimo</t>
  </si>
  <si>
    <t xml:space="preserve">CPL $76–228: alto valor por cliente</t>
  </si>
  <si>
    <t xml:space="preserve">B2B, tamaño medio, baja madurez digital</t>
  </si>
  <si>
    <t xml:space="preserve">&lt; B</t>
  </si>
  <si>
    <t xml:space="preserve">CPC $5–10, alta intención local</t>
  </si>
  <si>
    <t xml:space="preserve">54 Servicios profesionales</t>
  </si>
  <si>
    <t xml:space="preserve">CPC legal $9.87+, ticket alto</t>
  </si>
  <si>
    <t xml:space="preserve">Empleados mín.</t>
  </si>
  <si>
    <t xml:space="preserve">B2B CPL $103; decisión lenta</t>
  </si>
  <si>
    <t xml:space="preserve">Fundada hasta</t>
  </si>
  <si>
    <t xml:space="preserve">B2B, catálogo/cotizador</t>
  </si>
  <si>
    <t xml:space="preserve">CPL $100</t>
  </si>
  <si>
    <t xml:space="preserve">Náutico FTL: ticket alto; auto CPL $28</t>
  </si>
  <si>
    <t xml:space="preserve">Ticket bajo, CPC $2</t>
  </si>
  <si>
    <t xml:space="preserve">Mayorista, baja demanda de search</t>
  </si>
  <si>
    <t xml:space="preserve">Sin clasificar</t>
  </si>
  <si>
    <t xml:space="preserve">Puntaje = Peso web + Peso sector + Señal tamaño (1 si ≥10 empleados/camiones o fundada ≤2000). Máx. 7. Prioridad A exige además Señal tamaño = 1 (empresa mediana/establecida). Inactive en Sunbiz = Descartada.</t>
  </si>
  <si>
    <t xml:space="preserve">Pesos de sector derivados de benchmarks Google Ads (hoja Google_Ads) y ticket de servicio esperado. Criterio propio, ajustable.</t>
  </si>
  <si>
    <t xml:space="preserve">Matriz de oportunidad por industria</t>
  </si>
  <si>
    <t xml:space="preserve">Conteos vivos desde Prospectos. Ticket y CPL = supuestos editables (azul) con fuente en Google_Ads.</t>
  </si>
  <si>
    <t xml:space="preserve">Prospectos</t>
  </si>
  <si>
    <t xml:space="preserve">Sin web</t>
  </si>
  <si>
    <t xml:space="preserve">Desordenada</t>
  </si>
  <si>
    <t xml:space="preserve">Brecha (sin web+obsoleto+desordenada)</t>
  </si>
  <si>
    <t xml:space="preserve">% brecha</t>
  </si>
  <si>
    <t xml:space="preserve">Ticket web (USD)</t>
  </si>
  <si>
    <t xml:space="preserve">Retainer mensual (USD)</t>
  </si>
  <si>
    <t xml:space="preserve">Valor potencial año 1 (USD)</t>
  </si>
  <si>
    <t xml:space="preserve">CPL ref. Google Ads (USD)</t>
  </si>
  <si>
    <t xml:space="preserve">Total</t>
  </si>
  <si>
    <t xml:space="preserve">Valor potencial año 1 = empresas con brecha × (ticket web + retainer × 12). Asume 100% de cierre: aplicar tasa de conversión real (típico B2B frío 2–5%).</t>
  </si>
  <si>
    <t xml:space="preserve">Tickets: rangos Miami web pyme $2,500–15,000; SEO local $750–3,000/mes; redes $1,000–3,000/mes (ver Google_Ads). Valores de la tabla = punto medio conservador.</t>
  </si>
  <si>
    <t xml:space="preserve">Contexto económico por área</t>
  </si>
  <si>
    <t xml:space="preserve">Census QuickFacts / ABS 2022, municipios y DataUSA. 'Estimado' = no verificado en fuente primaria.</t>
  </si>
  <si>
    <t xml:space="preserve">Área</t>
  </si>
  <si>
    <t xml:space="preserve">Población</t>
  </si>
  <si>
    <t xml:space="preserve">Año</t>
  </si>
  <si>
    <t xml:space="preserve">Firmas empleadoras (ABS 2022)</t>
  </si>
  <si>
    <t xml:space="preserve">Carácter económico</t>
  </si>
  <si>
    <t xml:space="preserve">NAICS clave</t>
  </si>
  <si>
    <t xml:space="preserve">Verificación</t>
  </si>
  <si>
    <t xml:space="preserve">2023</t>
  </si>
  <si>
    <t xml:space="preserve">Finanzas, servicios profesionales, turismo, hub LatAm</t>
  </si>
  <si>
    <t xml:space="preserve">54, 52, 72, 42</t>
  </si>
  <si>
    <t xml:space="preserve">https://www.census.gov/quickfacts/fact/table/miamicityflorida/PST045224</t>
  </si>
  <si>
    <t xml:space="preserve">2024</t>
  </si>
  <si>
    <t xml:space="preserve">Manufactura ligera, salud, construcción, transporte</t>
  </si>
  <si>
    <t xml:space="preserve">31-33, 62, 23, 48-49</t>
  </si>
  <si>
    <t xml:space="preserve">Estimado</t>
  </si>
  <si>
    <t xml:space="preserve">https://datausa.io/profile/geo/hialeah-fl/</t>
  </si>
  <si>
    <t xml:space="preserve">Logística, comercio exterior, freight forwarders (junto a MIA)</t>
  </si>
  <si>
    <t xml:space="preserve">48-49, 42, 54, 44-45</t>
  </si>
  <si>
    <t xml:space="preserve">https://www.census.gov/quickfacts/fact/table/doralcityflorida/PST045225</t>
  </si>
  <si>
    <t xml:space="preserve">2020</t>
  </si>
  <si>
    <t xml:space="preserve">Industrial pura: cemento, canteras, +350 almacenes; población diurna +60k</t>
  </si>
  <si>
    <t xml:space="preserve">31-33, 42, 48-49, 23</t>
  </si>
  <si>
    <t xml:space="preserve">Sí (municipio)</t>
  </si>
  <si>
    <t xml:space="preserve">https://www.townofmedley.com/about-us</t>
  </si>
  <si>
    <t xml:space="preserve">Hotelería, restaurantes, vida nocturna, real estate</t>
  </si>
  <si>
    <t xml:space="preserve">72, 53, 71, 81</t>
  </si>
  <si>
    <t xml:space="preserve">https://census.gov/quickfacts/fact/table/miamibeachcityflorida/POP060210</t>
  </si>
  <si>
    <t xml:space="preserve">Coral Gables</t>
  </si>
  <si>
    <t xml:space="preserve">Sedes multinacionales LatAm, legal, profesional</t>
  </si>
  <si>
    <t xml:space="preserve">54, 52, 55, 62</t>
  </si>
  <si>
    <t xml:space="preserve">https://www.census.gov/quickfacts/fact/table/coralgablescityflorida/PST045224</t>
  </si>
  <si>
    <t xml:space="preserve">Retail (Dadeland), salud (Baptist), servicios</t>
  </si>
  <si>
    <t xml:space="preserve">44-45, 62, 81, 61</t>
  </si>
  <si>
    <t xml:space="preserve">Sí (población)</t>
  </si>
  <si>
    <t xml:space="preserve">https://en.wikipedia.org/wiki/Kendall,_Florida</t>
  </si>
  <si>
    <t xml:space="preserve">Miami Gardens</t>
  </si>
  <si>
    <t xml:space="preserve">Residencial, retail, Hard Rock Stadium</t>
  </si>
  <si>
    <t xml:space="preserve">44-45, 71, 81</t>
  </si>
  <si>
    <t xml:space="preserve">https://www.census.gov/quickfacts/fact/table/miamigardenscityflorida/POP060210</t>
  </si>
  <si>
    <t xml:space="preserve">Agricultura/viveros, base aérea, puerta a Cayos</t>
  </si>
  <si>
    <t xml:space="preserve">11, 44-45, 72, 23</t>
  </si>
  <si>
    <t xml:space="preserve">https://census.gov/quickfacts/fact/table/homesteadcityflorida/PST120223</t>
  </si>
  <si>
    <t xml:space="preserve">Industria náutica (111k empleos Broward), turismo, finanzas</t>
  </si>
  <si>
    <t xml:space="preserve">48-49, 72, 52, 81</t>
  </si>
  <si>
    <t xml:space="preserve">https://www.census.gov/quickfacts/fact/table/fortlauderdalecityflorida/PST045225</t>
  </si>
  <si>
    <t xml:space="preserve">Hollywood</t>
  </si>
  <si>
    <t xml:space="preserve">2022</t>
  </si>
  <si>
    <t xml:space="preserve">Turismo de playa, retail, servicios</t>
  </si>
  <si>
    <t xml:space="preserve">72, 44-45, 81</t>
  </si>
  <si>
    <t xml:space="preserve">https://www.census.gov/quickfacts/fact/table/hollywoodcityflorida/PST045222</t>
  </si>
  <si>
    <t xml:space="preserve">Pembroke Pines</t>
  </si>
  <si>
    <t xml:space="preserve">Residencial, retail, salud</t>
  </si>
  <si>
    <t xml:space="preserve">44-45, 62, 81</t>
  </si>
  <si>
    <t xml:space="preserve">https://www.census.gov/quickfacts/fact/table/pembrokepinescityflorida/SBO010222</t>
  </si>
  <si>
    <t xml:space="preserve">Retail (Sawgrass Mills), oficinas corporativas</t>
  </si>
  <si>
    <t xml:space="preserve">44-45, 55, 54</t>
  </si>
  <si>
    <t xml:space="preserve">https://www.census.gov/quickfacts/fact/table/sunrisecityflorida/PST045222</t>
  </si>
  <si>
    <t xml:space="preserve">Plantation</t>
  </si>
  <si>
    <t xml:space="preserve">Oficinas, salud, retail</t>
  </si>
  <si>
    <t xml:space="preserve">54, 62, 44-45</t>
  </si>
  <si>
    <t xml:space="preserve">https://www.census.gov/quickfacts/fact/table/plantationcityflorida/PST045225</t>
  </si>
  <si>
    <t xml:space="preserve">Condados</t>
  </si>
  <si>
    <t xml:space="preserve">Establecimientos (CBP)</t>
  </si>
  <si>
    <t xml:space="preserve">Est. 20–99 empl.</t>
  </si>
  <si>
    <t xml:space="preserve">Est. 100–499 empl.</t>
  </si>
  <si>
    <t xml:space="preserve">Mid-market (20–499)</t>
  </si>
  <si>
    <t xml:space="preserve">% mid-market</t>
  </si>
  <si>
    <t xml:space="preserve">https://www.miamidadematters.org/indicators/index/view?indicatorId=6371&amp;localeId=414</t>
  </si>
  <si>
    <t xml:space="preserve">https://www.census.gov/quickfacts/fact/table/browardcountyflorida/PST045224</t>
  </si>
  <si>
    <t xml:space="preserve">Est. 20–99 y 100–499 = ESTIMADO (proporciones nacionales CBP ≈12% y ≈2.2%). Verificar en data.census.gov tabla CB2300CBP, FIPS 12086 y 12011.</t>
  </si>
  <si>
    <t xml:space="preserve">Adopción digital y formación de empresas</t>
  </si>
  <si>
    <t xml:space="preserve">Encuestas nacionales (no hay datos específicos de Florida) + estadísticas oficiales.</t>
  </si>
  <si>
    <t xml:space="preserve">Indicador</t>
  </si>
  <si>
    <t xml:space="preserve">Valor</t>
  </si>
  <si>
    <t xml:space="preserve">URL</t>
  </si>
  <si>
    <t xml:space="preserve">Pequeñas empresas EE.UU. sin sitio web</t>
  </si>
  <si>
    <t xml:space="preserve">17%</t>
  </si>
  <si>
    <t xml:space="preserve">2025</t>
  </si>
  <si>
    <t xml:space="preserve">Clutch</t>
  </si>
  <si>
    <t xml:space="preserve">https://clutch.co/press-releases/smb-websites-2025</t>
  </si>
  <si>
    <t xml:space="preserve">Sin sitio web (Top Design Firms)</t>
  </si>
  <si>
    <t xml:space="preserve">27%</t>
  </si>
  <si>
    <t xml:space="preserve">Top Design Firms</t>
  </si>
  <si>
    <t xml:space="preserve">https://www.prnewswire.com/news-releases/27-of-small-businesses-still-dont-have-a-website-in-2022-301542302.html</t>
  </si>
  <si>
    <t xml:space="preserve">De las que no tienen web: creen que no la necesitan</t>
  </si>
  <si>
    <t xml:space="preserve">34%</t>
  </si>
  <si>
    <t xml:space="preserve">Invierten en publicidad de búsqueda (año en curso)</t>
  </si>
  <si>
    <t xml:space="preserve">45%</t>
  </si>
  <si>
    <t xml:space="preserve">2026</t>
  </si>
  <si>
    <t xml:space="preserve">LocaliQ</t>
  </si>
  <si>
    <t xml:space="preserve">https://localiq.com/blog/small-business-marketing-trends-report-2026/</t>
  </si>
  <si>
    <t xml:space="preserve">Invierten en search con presupuesto &lt; $1k/mes</t>
  </si>
  <si>
    <t xml:space="preserve">30%</t>
  </si>
  <si>
    <t xml:space="preserve">Pymes que usan IA generativa</t>
  </si>
  <si>
    <t xml:space="preserve">58%</t>
  </si>
  <si>
    <t xml:space="preserve">US Chamber</t>
  </si>
  <si>
    <t xml:space="preserve">https://www.uschamber.com/technology/artificial-intelligence/u-s-chambers-latest-empowering-small-business-report-shows-majority-of-businesses-in-all-50-states-are-embracing-ai</t>
  </si>
  <si>
    <t xml:space="preserve">Solicitudes de negocio Florida (Census BFS)</t>
  </si>
  <si>
    <t xml:space="preserve">~634,000</t>
  </si>
  <si>
    <t xml:space="preserve">Census BFS / Business Observer</t>
  </si>
  <si>
    <t xml:space="preserve">https://www.businessobserverfl.com/news/2025/may/19/florida-new-business-formations/</t>
  </si>
  <si>
    <t xml:space="preserve">Solicitudes por 10k hab. Miami-Dade (6.º EE.UU.)</t>
  </si>
  <si>
    <t xml:space="preserve">532</t>
  </si>
  <si>
    <t xml:space="preserve">Solicitudes por 10k hab. Broward (11.º EE.UU.)</t>
  </si>
  <si>
    <t xml:space="preserve">418</t>
  </si>
  <si>
    <t xml:space="preserve">Pequeñas empresas en Florida (99.8% del total)</t>
  </si>
  <si>
    <t xml:space="preserve">3.5 M</t>
  </si>
  <si>
    <t xml:space="preserve">SBA Office of Advocacy</t>
  </si>
  <si>
    <t xml:space="preserve">https://advocacy.sba.gov/wp-content/uploads/2025/06/Florida_2025-State-Profile.pdf</t>
  </si>
  <si>
    <t xml:space="preserve">Entidades registradas en Sunbiz</t>
  </si>
  <si>
    <t xml:space="preserve">+3.5 M</t>
  </si>
  <si>
    <t xml:space="preserve">Florida Division of Corporations</t>
  </si>
  <si>
    <t xml:space="preserve">https://dos.fl.gov/sunbiz/</t>
  </si>
  <si>
    <t xml:space="preserve">Nuevas entidades Sunbiz 2025 (≈1,800/día)</t>
  </si>
  <si>
    <t xml:space="preserve">670,459 (estimado)</t>
  </si>
  <si>
    <t xml:space="preserve">Fuente secundaria; verificar en Yearly Statistics</t>
  </si>
  <si>
    <t xml:space="preserve">https://dos.fl.gov/sunbiz/about-us/yearly-statistics/</t>
  </si>
  <si>
    <t xml:space="preserve">Demandas ADA Title III en Florida (2.º estado)</t>
  </si>
  <si>
    <t xml:space="preserve">1,823</t>
  </si>
  <si>
    <t xml:space="preserve">Seyfarth ADA Title III</t>
  </si>
  <si>
    <t xml:space="preserve">https://www.adatitleiii.com/2026/02/ada-title-iii-federal-lawsuit-filings-fall-slightly-to-8667-in-2025/</t>
  </si>
  <si>
    <t xml:space="preserve">Demandas digitales ADA Florida (fed.+estatal)</t>
  </si>
  <si>
    <t xml:space="preserve">950 (24% EE.UU.)</t>
  </si>
  <si>
    <t xml:space="preserve">UsableNet</t>
  </si>
  <si>
    <t xml:space="preserve">https://blog.usablenet.com/ada-web-lawsuit-trends-2026</t>
  </si>
  <si>
    <t xml:space="preserve">Google Ads: benchmarks y precios de servicios</t>
  </si>
  <si>
    <t xml:space="preserve">WordStream/LocaliQ = muestras grandes. Keywords Miami = herramientas de agencia (orientativo). Confirmar con Keyword Planner.</t>
  </si>
  <si>
    <t xml:space="preserve">Industria / keyword</t>
  </si>
  <si>
    <t xml:space="preserve">CPC (USD)</t>
  </si>
  <si>
    <t xml:space="preserve">CPL (USD)</t>
  </si>
  <si>
    <t xml:space="preserve">Nota</t>
  </si>
  <si>
    <t xml:space="preserve">Promedio todas las industrias</t>
  </si>
  <si>
    <t xml:space="preserve">WordStream 2025 (16k+ campañas)</t>
  </si>
  <si>
    <t xml:space="preserve">https://www.wordstream.com/blog/2025-google-ads-benchmarks</t>
  </si>
  <si>
    <t xml:space="preserve">Legal / abogados</t>
  </si>
  <si>
    <t xml:space="preserve">54</t>
  </si>
  <si>
    <t xml:space="preserve">CPC 2026; CPL más alto</t>
  </si>
  <si>
    <t xml:space="preserve">https://www.wordstream.com/blog/2026-google-ads-benchmarks</t>
  </si>
  <si>
    <t xml:space="preserve">Dental</t>
  </si>
  <si>
    <t xml:space="preserve">CPC 2026; conv. 9.08%</t>
  </si>
  <si>
    <t xml:space="preserve">Médicos y cirujanos</t>
  </si>
  <si>
    <t xml:space="preserve">WordStream 2025</t>
  </si>
  <si>
    <t xml:space="preserve">Techos (roofing)</t>
  </si>
  <si>
    <t xml:space="preserve">LocaliQ home services 2025</t>
  </si>
  <si>
    <t xml:space="preserve">https://localiq.com/blog/home-services-search-advertising-benchmarks/</t>
  </si>
  <si>
    <t xml:space="preserve">Construcción</t>
  </si>
  <si>
    <t xml:space="preserve">Automotriz (reparación)</t>
  </si>
  <si>
    <t xml:space="preserve">Restaurantes</t>
  </si>
  <si>
    <t xml:space="preserve">Business services (B2B)</t>
  </si>
  <si>
    <t xml:space="preserve">Real estate</t>
  </si>
  <si>
    <t xml:space="preserve">'dentist miami'</t>
  </si>
  <si>
    <t xml:space="preserve">Herramienta de agencia; orientativo</t>
  </si>
  <si>
    <t xml:space="preserve">https://ppcchief.com/google-ads-cost/dental/miami</t>
  </si>
  <si>
    <t xml:space="preserve">Accidentes / PI Miami (inglés)</t>
  </si>
  <si>
    <t xml:space="preserve">Rango CPC $70–250+; CPL $300–1,000</t>
  </si>
  <si>
    <t xml:space="preserve">https://custom.legal/practice-areas/personal-injury-law-firm-marketing/cost-per-click-benchmarks-for-personal-injury/</t>
  </si>
  <si>
    <t xml:space="preserve">'abogado de accidentes' FL (español)</t>
  </si>
  <si>
    <t xml:space="preserve">CPC $45–85; 30–60% más barato que inglés</t>
  </si>
  <si>
    <t xml:space="preserve">https://www.greatmarketing.ai/blog/spanish-speaking-personal-injury-lawyer-marketing</t>
  </si>
  <si>
    <t xml:space="preserve">Precios de mercado de servicios digitales (Miami)</t>
  </si>
  <si>
    <t xml:space="preserve">Servicio</t>
  </si>
  <si>
    <t xml:space="preserve">Mínimo (USD)</t>
  </si>
  <si>
    <t xml:space="preserve">Máximo (USD)</t>
  </si>
  <si>
    <t xml:space="preserve">Punto medio</t>
  </si>
  <si>
    <t xml:space="preserve">Unidad</t>
  </si>
  <si>
    <t xml:space="preserve">Diseño web pyme (Miami)</t>
  </si>
  <si>
    <t xml:space="preserve">proyecto</t>
  </si>
  <si>
    <t xml:space="preserve">https://tamer.marketing/blog/web-design-cost-miami/</t>
  </si>
  <si>
    <t xml:space="preserve">Diseño web freelance / precio fijo</t>
  </si>
  <si>
    <t xml:space="preserve">https://startupstarz.com/how-much-does-a-website-cost-for-a-small-business-in-miami-2026-pricing-guide/</t>
  </si>
  <si>
    <t xml:space="preserve">SEO local pyme (Miami)</t>
  </si>
  <si>
    <t xml:space="preserve">mes</t>
  </si>
  <si>
    <t xml:space="preserve">https://tamer.marketing/blog/seo-cost-miami/</t>
  </si>
  <si>
    <t xml:space="preserve">Gestión redes sociales pyme (Miami)</t>
  </si>
  <si>
    <t xml:space="preserve">https://onceonceagency.com/social-media-management-cost-miami/</t>
  </si>
  <si>
    <t xml:space="preserve">Gestión Google Ads (fee)</t>
  </si>
  <si>
    <t xml:space="preserve">mes (10–20% del gasto, mín. ~$500)</t>
  </si>
  <si>
    <t xml:space="preserve">https://www.2pointagency.com/glossary/pricing-for-ppc-management-services-in-miami/</t>
  </si>
  <si>
    <t xml:space="preserve">Presupuesto Google Ads pyme local</t>
  </si>
  <si>
    <t xml:space="preserve">mes (inversión del cliente)</t>
  </si>
  <si>
    <t xml:space="preserve">https://www.americaneagle.com/insights/blog/post/how-much-does-it-cost-to-advertise-on-google-ads-in-2025</t>
  </si>
  <si>
    <t xml:space="preserve">Legalidad de empresas y cumplimiento comercial</t>
  </si>
  <si>
    <t xml:space="preserve">Florida Division of Corporations (Sunbiz), DBPR, BTR condado/ciudad, FTSA, TCPA, CAN-SPAM, ADA. No es asesoría legal.</t>
  </si>
  <si>
    <t xml:space="preserve">Tema</t>
  </si>
  <si>
    <t xml:space="preserve">Regla / dato</t>
  </si>
  <si>
    <t xml:space="preserve">Implicación comercial</t>
  </si>
  <si>
    <t xml:space="preserve">Fuente oficial</t>
  </si>
  <si>
    <t xml:space="preserve">Sunbiz – tipos de entidad</t>
  </si>
  <si>
    <t xml:space="preserve">Florida Profit Corp, Not For Profit, LLC, LP/LLLP, Foreign, Fictitious Name (DBA, $50, 5 años, F.S. 865.09)</t>
  </si>
  <si>
    <t xml:space="preserve">'Inc/Corp/LLC' en el nombre no confirma estatus: validar siempre en Sunbiz</t>
  </si>
  <si>
    <t xml:space="preserve">https://dos.fl.gov/sunbiz/start-business/efile/fl-fictitious-name-registration/</t>
  </si>
  <si>
    <t xml:space="preserve">Sunbiz – estados</t>
  </si>
  <si>
    <t xml:space="preserve">Active / Inactive (Admin Dissolution for Annual Report, Voluntary Dissolution, Revoked, Merged)</t>
  </si>
  <si>
    <t xml:space="preserve">Solo prospectar entidades Active; Inactive recientes = empresas desorganizadas (posible servicio)</t>
  </si>
  <si>
    <t xml:space="preserve">https://search.sunbiz.org/</t>
  </si>
  <si>
    <t xml:space="preserve">Sunbiz – Annual Report</t>
  </si>
  <si>
    <t xml:space="preserve">Vence 1 de mayo; LLC $138.75; recargo $400 (Corp/LLC/LP), no condonable</t>
  </si>
  <si>
    <t xml:space="preserve">Pico de disoluciones administrativas en la 4.ª semana de septiembre</t>
  </si>
  <si>
    <t xml:space="preserve">https://dos.fl.gov/sunbiz/manage-business/efile/annual-report/</t>
  </si>
  <si>
    <t xml:space="preserve">Sunbiz – datos públicos</t>
  </si>
  <si>
    <t xml:space="preserve">Document No., FEI/EIN, fecha, estado, dirección, registered agent, officers, historial</t>
  </si>
  <si>
    <t xml:space="preserve">Nombre del officer = decisor para contacto B2B</t>
  </si>
  <si>
    <t xml:space="preserve">https://dos.fl.gov/sunbiz/search/</t>
  </si>
  <si>
    <t xml:space="preserve">Sunbiz – descargas masivas</t>
  </si>
  <si>
    <t xml:space="preserve">SFTP sftp.floridados.gov: trimestral (todas las activas) y diario (nuevas altas), ancho fijo</t>
  </si>
  <si>
    <t xml:space="preserve">Fuente para lead-gen automatizado de empresas nuevas (siguiente fase)</t>
  </si>
  <si>
    <t xml:space="preserve">https://dos.fl.gov/sunbiz/other-services/data-downloads/</t>
  </si>
  <si>
    <t xml:space="preserve">DBPR – licencias</t>
  </si>
  <si>
    <t xml:space="preserve">Contratistas (CILB), hoteles y restaurantes, real estate, cosmetología, CPA, etc. 1.6M+ licenciatarios</t>
  </si>
  <si>
    <t xml:space="preserve">Cruzar licencia activa = negocio operativo y regulado</t>
  </si>
  <si>
    <t xml:space="preserve">https://www2.myfloridalicense.com/services-requiring-a-dbpr-license/</t>
  </si>
  <si>
    <t xml:space="preserve">BTR Miami-Dade</t>
  </si>
  <si>
    <t xml:space="preserve">Por local y clasificación; ciudad + condado; año fiscal 1 oct–30 sep</t>
  </si>
  <si>
    <t xml:space="preserve">Dataset abierto 'Local Business Tax – View' para prospección por dirección</t>
  </si>
  <si>
    <t xml:space="preserve">https://www.mdctaxcollector.gov/services/local-business-tax-receipt</t>
  </si>
  <si>
    <t xml:space="preserve">BTR Broward</t>
  </si>
  <si>
    <t xml:space="preserve">Obligatorio; renovación 1 jul–30 sep; tarifa por tipo y empleados</t>
  </si>
  <si>
    <t xml:space="preserve">Dataset 'Business Tax Records' en Broward GeoHub</t>
  </si>
  <si>
    <t xml:space="preserve">https://browardtax.org/business-tax-receipt/</t>
  </si>
  <si>
    <t xml:space="preserve">BTR/CU Fort Lauderdale</t>
  </si>
  <si>
    <t xml:space="preserve">BTR municipal obligatorio antes de operar (Sec. 15-28)</t>
  </si>
  <si>
    <t xml:space="preserve">Validar negocio operativo</t>
  </si>
  <si>
    <t xml:space="preserve">https://www.fortlauderdale.gov/Government/Departments/Community-Services/Business-Tax</t>
  </si>
  <si>
    <t xml:space="preserve">BTR/CU Miami Beach</t>
  </si>
  <si>
    <t xml:space="preserve">Certificate of Use + inspección bomberos + BTR</t>
  </si>
  <si>
    <t xml:space="preserve">https://www.miamibeachfl.gov/city-hall/finance/business-tax-receipts-btr/</t>
  </si>
  <si>
    <t xml:space="preserve">BTR/CU Medley</t>
  </si>
  <si>
    <t xml:space="preserve">Sin CU no hay BTR; CU municipal exige CU del condado</t>
  </si>
  <si>
    <t xml:space="preserve">https://www.townofmedley.com/local-business-tax-receipts</t>
  </si>
  <si>
    <t xml:space="preserve">FTSA (F.S. 501.059) + HB 761 (2023)</t>
  </si>
  <si>
    <t xml:space="preserve">Consentimiento escrito para llamadas/SMS de venta con sistema automatizado; $500–$1,500 por violación; STOP + 15 días antes de demandar</t>
  </si>
  <si>
    <t xml:space="preserve">NO usar marcadores/SMS masivos; llamadas manuales 1 a 1</t>
  </si>
  <si>
    <t xml:space="preserve">https://www.flsenate.gov/Committees/BillSummaries/2023/html/761</t>
  </si>
  <si>
    <t xml:space="preserve">Florida Telemarketing Act (501.601–626)</t>
  </si>
  <si>
    <t xml:space="preserve">Licencia FDACS + fianza $50k salvo exención (B2B); 8am–8pm; máx. 3 llamadas/24h</t>
  </si>
  <si>
    <t xml:space="preserve">Venta B2B exenta de licencia, no de horarios ni DNC</t>
  </si>
  <si>
    <t xml:space="preserve">https://www.fdacs.gov/Consumer-Resources/Consumer-Rights-and-Responsibilities/Telemarketing</t>
  </si>
  <si>
    <t xml:space="preserve">TCPA / DNC</t>
  </si>
  <si>
    <t xml:space="preserve">PEWC para autodialer a celulares; DNC nacional y de Florida</t>
  </si>
  <si>
    <t xml:space="preserve">Depurar móviles contra DNC antes de llamar</t>
  </si>
  <si>
    <t xml:space="preserve">https://www.fdacs.gov/Business-Services/Florida-Do-Not-Call</t>
  </si>
  <si>
    <t xml:space="preserve">CAN-SPAM</t>
  </si>
  <si>
    <t xml:space="preserve">Sin excepción B2B: remitente veraz, asunto no engañoso, dirección física, opt-out; hasta $53,088 por email</t>
  </si>
  <si>
    <t xml:space="preserve">Canal principal recomendado: email B2B 1 a 1 que cumpla</t>
  </si>
  <si>
    <t xml:space="preserve">https://www.ftc.gov/business-guidance/resources/can-spam-act-compliance-guide-business</t>
  </si>
  <si>
    <t xml:space="preserve">Florida Digital Bill of Rights</t>
  </si>
  <si>
    <t xml:space="preserve">Solo controllers con +$1,000M de ingresos + criterio Big Tech</t>
  </si>
  <si>
    <t xml:space="preserve">No aplica a la agencia ni a los prospectos pyme</t>
  </si>
  <si>
    <t xml:space="preserve">https://privacylawmap.com/states/florida</t>
  </si>
  <si>
    <t xml:space="preserve">ADA web (Title III)</t>
  </si>
  <si>
    <t xml:space="preserve">Florida: 1,823 demandas ADA Title III en 2025 (2.º de EE.UU.); ~950 digitales (24%)</t>
  </si>
  <si>
    <t xml:space="preserve">Argumento de venta: sitio accesible (WCAG 2.2 AA) reduce riesgo legal</t>
  </si>
  <si>
    <t xml:space="preserve">Portales de datos abiertos para escalar la base de prospectos</t>
  </si>
  <si>
    <t xml:space="preserve">Miami-Dade Open Data – Local Business Tax View</t>
  </si>
  <si>
    <t xml:space="preserve">https://opendata.miamidade.gov/datasets/local-business-tax-view</t>
  </si>
  <si>
    <t xml:space="preserve">Miami-Dade – Certificates of Use</t>
  </si>
  <si>
    <t xml:space="preserve">https://gis-mdc.opendata.arcgis.com/datasets/1952228619b0463cb6f9f7dc839bff88</t>
  </si>
  <si>
    <t xml:space="preserve">Broward GeoHub – Business Tax Records</t>
  </si>
  <si>
    <t xml:space="preserve">https://geohub-bcgis.opendata.arcgis.com/datasets/business-tax-records/about</t>
  </si>
  <si>
    <t xml:space="preserve">Sunbiz – descargas masivas (SFTP)</t>
  </si>
  <si>
    <t xml:space="preserve">DBPR – búsqueda de licencias</t>
  </si>
  <si>
    <t xml:space="preserve">https://www2.myfloridalicense.com/</t>
  </si>
  <si>
    <t xml:space="preserve">Metodología, alcance y limitaciones</t>
  </si>
  <si>
    <t xml:space="preserve">Investigación de escritorio con fuentes públicas gratuitas. Fecha de corte: septiembre 2026.</t>
  </si>
  <si>
    <t xml:space="preserve">Detalle</t>
  </si>
  <si>
    <t xml:space="preserve">Objetivo</t>
  </si>
  <si>
    <t xml:space="preserve">Identificar empresas medianas/establecidas en Miami-Dade y Broward (Fort Lauderdale, Kendall, Miami Beach, Medley, Doral, Hialeah, Homestead y alrededores) sin sitio web, con sitio obsoleto o con presencia digital fragmentada.</t>
  </si>
  <si>
    <t xml:space="preserve">Fuentes</t>
  </si>
  <si>
    <t xml:space="preserve">Census (QuickFacts, CBP, ABS, BFS), Florida Division of Corporations (Sunbiz), DBPR, tax collectors de Miami-Dade y Broward, sitios municipales, FDACS, FTC, Florida Senate; directorios públicos (BBB, Manta, Yelp, YellowPages, D&amp;B, Bizapedia); benchmarks WordStream/LocaliQ.</t>
  </si>
  <si>
    <t xml:space="preserve">Criterio estado web</t>
  </si>
  <si>
    <t xml:space="preserve">Sin sitio web = ningún dominio propio en resultados de búsqueda. Sitio obsoleto = señales técnicas (http sin HTTPS, .html estático, plantilla sin personalizar, erratas). Presencia desordenada = varios dominios/fichas duplicadas. Tiene web (auditar) = dominio propio, calidad no auditada.</t>
  </si>
  <si>
    <t xml:space="preserve">Limitación 1</t>
  </si>
  <si>
    <t xml:space="preserve">El estado web se infirió de fragmentos de búsqueda, no de visitas a cada sitio. Verificar antes de contactar.</t>
  </si>
  <si>
    <t xml:space="preserve">Limitación 2</t>
  </si>
  <si>
    <t xml:space="preserve">Forma legal inferida del sufijo del nombre (Inc/LLC/Corp) salvo que se indique Sunbiz. Columna 'Estado Sunbiz' queda 'Pendiente' para validación manual en search.sunbiz.org.</t>
  </si>
  <si>
    <t xml:space="preserve">Limitación 3</t>
  </si>
  <si>
    <t xml:space="preserve">Empleados y ventas = estimaciones de Manta/D&amp;B. Establecimientos 20–499 empleados por condado = estimado con proporciones nacionales.</t>
  </si>
  <si>
    <t xml:space="preserve">Limitación 4</t>
  </si>
  <si>
    <t xml:space="preserve">Muestra: 95 empresas (no censo). Sesgo hacia industrias con presencia en directorios. Cobertura baja en Miami Beach, Wynwood, restaurantes y salud.</t>
  </si>
  <si>
    <t xml:space="preserve">Siguiente fase</t>
  </si>
  <si>
    <t xml:space="preserve">Descargar datasets BTR (Miami-Dade, Broward) + archivo trimestral Sunbiz → cruzar por dirección → verificar dominio automáticamente (DNS/HTTP) → escalar a miles de prospectos con estado web medido.</t>
  </si>
  <si>
    <t xml:space="preserve">Cumplimiento</t>
  </si>
  <si>
    <t xml:space="preserve">Contacto recomendado: email B2B 1 a 1 conforme a CAN-SPAM y visita presencial. Evitar marcadores automáticos y SMS masivos (FTSA/TCPA).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</si>
</sst>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General"/>
    <numFmt numFmtId="167" formatCode="#,##0"/>
    <numFmt numFmtId="168" formatCode="0%"/>
    <numFmt numFmtId="169" formatCode="\$0.00"/>
    <numFmt numFmtId="170" formatCode="\$#,##0"/>
    <numFmt numFmtId="171" formatCode="\$#,##0.00"/>
    <numFmt numFmtId="172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8"/>
      <color rgb="FF1F293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4"/>
      <color rgb="FF0E7C86"/>
      <name val="Arial"/>
      <family val="0"/>
      <charset val="1"/>
    </font>
    <font>
      <b val="true"/>
      <sz val="12"/>
      <color rgb="FF1F293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E7C86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4"/>
      <color theme="1"/>
      <name val="Arial"/>
      <family val="2"/>
      <charset val="1"/>
    </font>
    <font>
      <sz val="9"/>
      <color theme="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9DB"/>
        <bgColor rgb="FFFFFFFF"/>
      </patternFill>
    </fill>
  </fills>
  <borders count="3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5E7EB"/>
      </bottom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medium"/>
      <right style="thin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2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7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8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3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11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42318"/>
          <bgColor rgb="FF000000"/>
        </patternFill>
      </fill>
    </dxf>
    <dxf>
      <fill>
        <patternFill patternType="solid">
          <fgColor rgb="FF0E7C86"/>
          <bgColor rgb="FF000000"/>
        </patternFill>
      </fill>
    </dxf>
    <dxf>
      <fill>
        <patternFill patternType="solid">
          <fgColor rgb="FFCCE7E9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0E7C86"/>
        </patternFill>
      </fill>
    </dxf>
    <dxf>
      <fill>
        <patternFill>
          <bgColor rgb="FFCCE7E9"/>
        </patternFill>
      </fill>
    </dxf>
    <dxf>
      <font>
        <name val="Arial"/>
        <charset val="1"/>
        <family val="0"/>
        <b val="1"/>
        <color rgb="FFB42318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86"/>
      <rgbColor rgb="FFC0C0C0"/>
      <rgbColor rgb="FF808080"/>
      <rgbColor rgb="FF9999FF"/>
      <rgbColor rgb="FF993366"/>
      <rgbColor rgb="FFFFF9DB"/>
      <rgbColor rgb="FFCCE7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B42318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<Relationship Id="rId17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95" createdVersion="3">
  <cacheSource type="worksheet">
    <worksheetSource ref="A4:W99" sheet="Prospectos"/>
  </cacheSource>
  <cacheFields count="23">
    <cacheField name="ID" numFmtId="0">
      <sharedItems count="95">
        <s v="P001"/>
        <s v="P002"/>
        <s v="P003"/>
        <s v="P004"/>
        <s v="P005"/>
        <s v="P006"/>
        <s v="P007"/>
        <s v="P008"/>
        <s v="P009"/>
        <s v="P010"/>
        <s v="P011"/>
        <s v="P012"/>
        <s v="P013"/>
        <s v="P014"/>
        <s v="P015"/>
        <s v="P016"/>
        <s v="P017"/>
        <s v="P018"/>
        <s v="P019"/>
        <s v="P020"/>
        <s v="P021"/>
        <s v="P022"/>
        <s v="P023"/>
        <s v="P024"/>
        <s v="P025"/>
        <s v="P026"/>
        <s v="P027"/>
        <s v="P028"/>
        <s v="P029"/>
        <s v="P030"/>
        <s v="P031"/>
        <s v="P032"/>
        <s v="P033"/>
        <s v="P034"/>
        <s v="P035"/>
        <s v="P036"/>
        <s v="P037"/>
        <s v="P038"/>
        <s v="P039"/>
        <s v="P040"/>
        <s v="P041"/>
        <s v="P042"/>
        <s v="P043"/>
        <s v="P044"/>
        <s v="P045"/>
        <s v="P046"/>
        <s v="P047"/>
        <s v="P048"/>
        <s v="P049"/>
        <s v="P050"/>
        <s v="P051"/>
        <s v="P052"/>
        <s v="P053"/>
        <s v="P054"/>
        <s v="P055"/>
        <s v="P056"/>
        <s v="P057"/>
        <s v="P058"/>
        <s v="P059"/>
        <s v="P060"/>
        <s v="P061"/>
        <s v="P062"/>
        <s v="P063"/>
        <s v="P064"/>
        <s v="P065"/>
        <s v="P066"/>
        <s v="P067"/>
        <s v="P068"/>
        <s v="P069"/>
        <s v="P070"/>
        <s v="P071"/>
        <s v="P072"/>
        <s v="P073"/>
        <s v="P074"/>
        <s v="P075"/>
        <s v="P076"/>
        <s v="P077"/>
        <s v="P078"/>
        <s v="P079"/>
        <s v="P080"/>
        <s v="P081"/>
        <s v="P082"/>
        <s v="P083"/>
        <s v="P084"/>
        <s v="P085"/>
        <s v="P086"/>
        <s v="P087"/>
        <s v="P088"/>
        <s v="P089"/>
        <s v="P090"/>
        <s v="P091"/>
        <s v="P092"/>
        <s v="P093"/>
        <s v="P094"/>
        <s v="P095"/>
      </sharedItems>
    </cacheField>
    <cacheField name="Empresa" numFmtId="0">
      <sharedItems count="95">
        <s v="4 U Unlimited"/>
        <s v="AA Florida Pallets Inc"/>
        <s v="All Power Marine Boat Lifts &amp; Docks"/>
        <s v="All Star Aluminum Windows &amp; Doors Inc"/>
        <s v="All Welding and Machine Shop Inc"/>
        <s v="Allsteel &amp; Gypsum Products Inc"/>
        <s v="Amigo Pallets Inc"/>
        <s v="Barahona's Food Distributor LLC"/>
        <s v="Brothers Produce Inc"/>
        <s v="Complete Yacht Care Inc"/>
        <s v="Complete Yacht Service"/>
        <s v="Conavenca Freight Forwarder LLC"/>
        <s v="Construct Group Corp"/>
        <s v="CV AC Expert LLC"/>
        <s v="CYMA Truck Repair"/>
        <s v="Doral Family Dental"/>
        <s v="Doral Freight Logistics Inc"/>
        <s v="El Exquisito Restaurant"/>
        <s v="El Rey de las Fritas"/>
        <s v="Elite Yachting Solutions LLC"/>
        <s v="Excellent Fruit &amp; Produce Inc"/>
        <s v="Fast Lane Auto Repairs"/>
        <s v="First Class Air Conditioning &amp; Appliance Inc"/>
        <s v="Florida Paving &amp; Trucking Inc"/>
        <s v="Global Cargo Connection Inc"/>
        <s v="Gondia Machine Shop"/>
        <s v="Hialeah Bakery and Foods Inc"/>
        <s v="Hialeah Plumbing Supply Company"/>
        <s v="High Quality Trucking Inc"/>
        <s v="International Cruise Food &amp; Hotel Suppliers Inc"/>
        <s v="J J Freight Brokerage Inc"/>
        <s v="Jonel Knitting Mills Inc"/>
        <s v="Just Plumbing"/>
        <s v="K &amp; K Dental Associates"/>
        <s v="Kendale Air Conditioning Inc"/>
        <s v="Kendall Medical Center Inc"/>
        <s v="Kendall South Medical Center Inc"/>
        <s v="Krome Auto and Tire Inc"/>
        <s v="Kryterion Property Services LLC"/>
        <s v="Land &amp; Sea Air Conditioning of South Florida Inc"/>
        <s v="LaRosa Diesel Mechanical"/>
        <s v="Lasseter Plumbing Company Inc"/>
        <s v="Lindsay-Taylor Property Management Inc"/>
        <s v="Liner Growers Nursery"/>
        <s v="Loman Distributors Inc"/>
        <s v="Los Tres Conejitos Bakery"/>
        <s v="Malu Plumbing Inc"/>
        <s v="Manny's Plumbing Service"/>
        <s v="Manuel Diaz Farms Inc"/>
        <s v="Marante Distributors Corp"/>
        <s v="Marante Forwarding Co Inc"/>
        <s v="Marina Road Boat Yard"/>
        <s v="Markon Realty And Management Inc"/>
        <s v="Martinez Distributors Inc"/>
        <s v="Medallion Nurseries"/>
        <s v="Medina &amp; Son Plumbing Supply Inc"/>
        <s v="Medley Machine Shop Inc"/>
        <s v="Medley Steel and Supply Inc"/>
        <s v="Million Air Conditioning Corp"/>
        <s v="New England Plumbing"/>
        <s v="Ocean Freight Link"/>
        <s v="Original Look"/>
        <s v="Our Shop Auto Repairs Inc"/>
        <s v="Pablo's Machine Shop &amp; Welding Corp"/>
        <s v="Panther &amp; Co Inc"/>
        <s v="Plumbing Experts"/>
        <s v="Pompano Beach Texaco"/>
        <s v="Pro Collision Center LLC"/>
        <s v="Professional Plumbing Corp"/>
        <s v="Promptus LLC"/>
        <s v="Quality Growers Inc"/>
        <s v="R K A Xpress Inc"/>
        <s v="R Plants Inc"/>
        <s v="Rocco Plumbing Inc"/>
        <s v="S.A. Marine Services LLC"/>
        <s v="Sam S. Accursio &amp; Sons Farms"/>
        <s v="Sari Express Forwarders Inc"/>
        <s v="Senaduana Freight Forwarders Inc"/>
        <s v="Ship Side Service Inc"/>
        <s v="Shoreline Marine LLC"/>
        <s v="Steel Works Rebar Fabricators LLC"/>
        <s v="Structural Prestressed Industries Inc"/>
        <s v="Sudsies Dry Cleaners"/>
        <s v="Super Diesel Truck Repair Inc"/>
        <s v="Superior Stainless &amp; Yacht Repair"/>
        <s v="T&amp;D Air Conditioning Inc"/>
        <s v="Tango Body Shop"/>
        <s v="The Auto Spot"/>
        <s v="Three Js Management Corporation"/>
        <s v="TMC Import &amp; Export Co"/>
        <s v="Top Quality Yachts Refinishing &amp; Refurbishing"/>
        <s v="Truck Brokerage by National Inc"/>
        <s v="Yacht Mechanics of Florida"/>
        <s v="Yachting Bliss"/>
        <s v="YMP Real Estate Management LLC"/>
      </sharedItems>
    </cacheField>
    <cacheField name="Municipio" numFmtId="0">
      <sharedItems count="16">
        <s v="Davie"/>
        <s v="Doral"/>
        <s v="Fort Lauderdale"/>
        <s v="Hialeah"/>
        <s v="Hialeah Gardens"/>
        <s v="Homestead"/>
        <s v="Kendall"/>
        <s v="Medley"/>
        <s v="Miami (ciudad)"/>
        <s v="Miami Beach"/>
        <s v="Miami Shores"/>
        <s v="Miramar"/>
        <s v="North Miami"/>
        <s v="North Miami Beach"/>
        <s v="Pompano Beach"/>
        <s v="Sunrise"/>
      </sharedItems>
    </cacheField>
    <cacheField name="Barrio/zona" numFmtId="0">
      <sharedItems containsBlank="1" count="3">
        <s v="Allapattah"/>
        <s v="Little Havana"/>
        <m/>
      </sharedItems>
    </cacheField>
    <cacheField name="Condado" numFmtId="0">
      <sharedItems count="2">
        <s v="Broward"/>
        <s v="Miami-Dade"/>
      </sharedItems>
    </cacheField>
    <cacheField name="Sector (detalle)" numFmtId="0">
      <sharedItems count="55">
        <s v="Administración de propiedades"/>
        <s v="Agricultura/empacadora"/>
        <s v="Automotriz - carrocería"/>
        <s v="Automotriz - taller"/>
        <s v="Automotriz - taller/estación"/>
        <s v="Automotriz - taller/llantas"/>
        <s v="Clínica dental"/>
        <s v="Clínica médica"/>
        <s v="Contratista civil (FDOT)"/>
        <s v="Contratista de plomería comercial"/>
        <s v="Distribución alimentaria a cruceros"/>
        <s v="Distribución de acero"/>
        <s v="Distribución de alimentos"/>
        <s v="Distribución materiales de construcción"/>
        <s v="Distribución mayorista"/>
        <s v="Distribución suministros de plomería"/>
        <s v="Fabricación de acero/varilla"/>
        <s v="Fabricación/reciclaje de paletas"/>
        <s v="HVAC"/>
        <s v="HVAC/electrodomésticos"/>
        <s v="Import/export (embalaje y equipos)"/>
        <s v="Logística - broker de carga"/>
        <s v="Logística - consolidación de carga"/>
        <s v="Logística - freight forwarding"/>
        <s v="Logística - transporte"/>
        <s v="Manufactura textil (tejidos de punto)"/>
        <s v="Maquinado/soldadura industrial"/>
        <s v="Mayorista carnes y mariscos"/>
        <s v="Mayorista frutas y verduras"/>
        <s v="Náutico - boat lifts"/>
        <s v="Náutico - boatyard"/>
        <s v="Náutico - lifts/docks"/>
        <s v="Náutico - mantenimiento yates"/>
        <s v="Náutico - mecánica/hidráulica"/>
        <s v="Náutico - motores/partes y servicio"/>
        <s v="Náutico - pintura/refinish yates"/>
        <s v="Náutico - reparación"/>
        <s v="Náutico - reparación/refit"/>
        <s v="Náutico - servicios"/>
        <s v="Náutico - servicios a yates"/>
        <s v="Náutico - soldadura/inox yates"/>
        <s v="Panadería"/>
        <s v="Pavimentación/movimiento de tierra"/>
        <s v="Plomería"/>
        <s v="Prefabricados de concreto"/>
        <s v="Reparación camiones diésel"/>
        <s v="Restaurante"/>
        <s v="Soldadura/taller industrial"/>
        <s v="Taller mecánico industrial"/>
        <s v="Tintorería"/>
        <s v="Transporte de carga (roca/arena)"/>
        <s v="Transporte de carga/contenedores"/>
        <s v="Transporte y almacenaje"/>
        <s v="Ventanas/puertas de aluminio"/>
        <s v="Vivero mayorista"/>
      </sharedItems>
    </cacheField>
    <cacheField name="NAICS" numFmtId="0">
      <sharedItems count="11">
        <s v="11"/>
        <s v="23"/>
        <s v="31"/>
        <s v="32"/>
        <s v="33"/>
        <s v="42"/>
        <s v="48"/>
        <s v="53"/>
        <s v="62"/>
        <s v="72"/>
        <s v="81"/>
      </sharedItems>
    </cacheField>
    <cacheField name="Industria (NAICS)" numFmtId="0">
      <sharedItems count="9">
        <s v="11 Agricultura/viveros"/>
        <s v="23 Construcción y oficios"/>
        <s v="31-33 Manufactura"/>
        <s v="42 Comercio mayorista"/>
        <s v="48-49 Transporte y logística"/>
        <s v="53 Inmobiliario/admin. propiedades"/>
        <s v="62 Salud"/>
        <s v="72 Restaurantes/hotelería"/>
        <s v="81 Servicios (auto, náutico, reparación)"/>
      </sharedItems>
    </cacheField>
    <cacheField name="Forma legal" numFmtId="0">
      <sharedItems count="4">
        <s v="Corp"/>
        <s v="Inc"/>
        <s v="LLC"/>
        <s v="No verificado"/>
      </sharedItems>
    </cacheField>
    <cacheField name="Estado web" numFmtId="0">
      <sharedItems count="5">
        <s v="No verificado"/>
        <s v="Presencia desordenada"/>
        <s v="Sin sitio web"/>
        <s v="Sitio obsoleto"/>
        <s v="Tiene web (auditar)"/>
      </sharedItems>
    </cacheField>
    <cacheField name="Redes sociales" numFmtId="0">
      <sharedItems count="15">
        <s v="BBB; Yelp; Birdeye"/>
        <s v="Facebook"/>
        <s v="Facebook (x2); Yelp"/>
        <s v="Facebook; Instagram"/>
        <s v="Facebook; LinkedIn; Yelp"/>
        <s v="Facebook; Yelp"/>
        <s v="Facebook; Yelp; Nextdoor"/>
        <s v="LinkedIn"/>
        <s v="Nextdoor"/>
        <s v="Nextdoor; Indeed"/>
        <s v="Ninguna encontrada"/>
        <s v="No verificado"/>
        <s v="Yelp"/>
        <s v="Yelp; BBB"/>
        <s v="Yelp; Birdeye"/>
      </sharedItems>
    </cacheField>
    <cacheField name="Tiene redes" numFmtId="0">
      <sharedItems count="3">
        <s v="No"/>
        <s v="No verificado"/>
        <s v="Sí"/>
      </sharedItems>
    </cacheField>
    <cacheField name="Evidencia" numFmtId="0">
      <sharedItems count="73">
        <s v="14+ años; fichas duplicadas, sin dominio propio claro"/>
        <s v="20+ años; solo Yelp"/>
        <s v="3.5 estrellas / 13 reseñas"/>
        <s v="42 años; sitio básico + página Genially: candidato a rediseño"/>
        <s v="Almacén refrigerado y flota propia"/>
        <s v="BBB A+, ~22 años; registro estatal muestra CANCEL ADM DISS/REV: verificar en Sunbiz | Forma legal fuente: Inc (posible Admin. Dissolved)"/>
        <s v="BBB A+, desde 1993; solo directorios"/>
        <s v="BBB, desde 1999; búsqueda por nombre solo devuelve BBB"/>
        <s v="BBB: desde 1987"/>
        <s v="Boat lifts en Palm Beach, Broward y Miami-Dade"/>
        <s v="Cadena local desde 1982"/>
        <s v="Categoría Freight Forwarding Manta Hialeah"/>
        <s v="Categoría Wholesale Nurseries Manta"/>
        <s v="Desde 1948, empacadora propia"/>
        <s v="Desde 1973 (W Hotel, Fontainebleau); dos dominios, uno en http"/>
        <s v="Desde 1978, exporta Caribe/LatAm"/>
        <s v="Desde 1987, 84+ reseñas"/>
        <s v="Desde 1988; BBB 2014"/>
        <s v="Desde 1997, 3 tiendas, planta USDA"/>
        <s v="Desde 2008, I-Car Gold; dos dominios distintos"/>
        <s v="Desde 2008; solo directorios y Facebook"/>
        <s v="Desde 2009; sitio .us básico y Facebook duplicado"/>
        <s v="Desde 2014; ficha Yelp no reclamada | Forma legal fuente: LLC (BBB)"/>
        <s v="Est. 1970; licencia OTI revocada 2003: verificar Sunbiz | Forma legal fuente: Inc (posible inactiva)"/>
        <s v="Est. 1976, ~6 empleados, ~$1.3M ventas (Manta); búsqueda por nombre solo devuelve Facebook/Yelp | Forma legal fuente: Inc (Manta; no verificado en Sunbiz)"/>
        <s v="Est. 1981, ~11 empleados, ~$2.4M | Forma legal fuente: LLC (según YP)"/>
        <s v="Est. 1986, 55 camiones (FMCSA); web http sin HTTPS, páginas .html estáticas"/>
        <s v="Est. 1989, ~17 empleados, ~$2.7M"/>
        <s v="Est. 1992; solo BBB, D&amp;B, Manta, Yelp, Procore"/>
        <s v="Est. 1996, 24h; contacto con Gmail (señal de baja madurez digital)"/>
        <s v="Est. 1996, gran prefabricadora"/>
        <s v="Est. 1996; 244 reseñas Yelp"/>
        <s v="Est. 1997, 180+ acres"/>
        <s v="Est. 1999, ~50 empleados, ~$9.4M"/>
        <s v="Est. 2001, ~100 empleados, 625 proyectos; título web 'HOME | My Site' (plantilla sin personalizar)"/>
        <s v="Est. 2001, familiar; solo Yelp"/>
        <s v="Est. 2004"/>
        <s v="Est. 2006, ~3 empleados; contratista certificado DBPR"/>
        <s v="Est. 2006, 66 camiones; dominio no coincide con la marca"/>
        <s v="Est. 2007, 10-19 empleados; solo directorios y Facebook"/>
        <s v="Est. 2010; IG 172 seguidores"/>
        <s v="Familia Coro desde 1974 en Calle Ocho"/>
        <s v="Fundada 1990; sin Facebook propio"/>
        <s v="Fundada 1992; 38 reseñas"/>
        <s v="Fundada 1994; dominio sin confirmar"/>
        <s v="Fundada 2003"/>
        <s v="Fundada 2006; solo Manta y D&amp;B"/>
        <s v="Inc. 1998, almacén 200,000 ft²"/>
        <s v="Incorporada 2012; dos dominios distintos"/>
        <s v="Listado Manta"/>
        <s v="Manta: ~$2.5M ventas, ~6 empleados"/>
        <s v="Manta: ~$500k, ~7 empleados"/>
        <s v="Manta: 30+ años"/>
        <s v="Manta: est. 1990, ~11 empleados, ~$750k"/>
        <s v="Manta: est. 1993"/>
        <s v="Manta: est. 2001, ~5 empleados"/>
        <s v="Manta: est. 2008"/>
        <s v="Manta: est. 2015, ~2 empleados"/>
        <s v="Manta: est. 2015, ~7 empleados"/>
        <s v="Manta: fundada 1987, ~25 empleados; sin web ni Facebook"/>
        <s v="Manta: repiping, gas"/>
        <s v="Solo Bizapedia"/>
        <s v="Solo directorio WebMD"/>
        <s v="Solo Facebook"/>
        <s v="Solo listado BBB"/>
        <s v="Solo Manta"/>
        <s v="Solo Manta; 10+ años"/>
        <s v="Solo Yahoo Local"/>
        <s v="Solo YellowPages, Superpages, Manta, Waze"/>
        <s v="Solo Yelp"/>
        <s v="Sunbiz: registrada 05/17/1989, Active | Forma legal fuente: Corp (Sunbiz: Florida Profit Corp)"/>
        <s v="Título web con errata 'Welcom to AA Florida Pallets'"/>
        <s v="URL /index.html: sitio estático antiguo (no confirmado)"/>
      </sharedItems>
    </cacheField>
    <cacheField name="Fuente" numFmtId="0">
      <sharedItems count="93">
        <s v="http://www.truckbrokeragebynational.com/"/>
        <s v="https://buildingrenewable.com/12-best-precast-concrete-construction-companies-in-florida/"/>
        <s v="https://doctor.webmd.com/practice/kendall-medical-center-inc-773643c8-4703-e211-a42b-001f29e3eb44-physicians/alpha/all"/>
        <s v="https://doctor.webmd.com/practice/kendall-south-medical-center-inc-422a0a48-1a37-46b1-973c-95ba062d11e3"/>
        <s v="https://ediblesouthflorida.ediblecommunities.com/eat/fresh-demand-local-produce-longtime-homestead-farm/"/>
        <s v="https://excellentfruitandproduce.com/about-us/"/>
        <s v="https://local.yahoo.com/info-211983306-marante-distributors-corp-hialeah/"/>
        <s v="https://search.sunbiz.org/Inquiry/CorporationSearch/ByName"/>
        <s v="https://www.allsteelproducts.com/index.html"/>
        <s v="https://www.bbb.org/us/fl/davie/profile/major-appliance-services/first-class-air-conditioning-appliance-inc-0633-90137525"/>
        <s v="https://www.bbb.org/us/fl/fort-lauderdale/profile/boat-repair/ship-side-service-0633-22003092"/>
        <s v="https://www.bbb.org/us/fl/fort-lauderdale/profile/boat-repair/top-quality-yachts-refinishing-refurbishing-0633-4006026"/>
        <s v="https://www.bbb.org/us/fl/ft-lauderdale/profile/boat-repair/superior-stainless-yacht-repair-0633-11011513"/>
        <s v="https://www.bbb.org/us/fl/hialeah/profile/auto-body-repair-and-painting/procollision-center-llc-0633-90024812"/>
        <s v="https://www.bbb.org/us/fl/hialeah/profile/impact-windows/all-star-aluminum-windows-doors-inc-0633-90034252"/>
        <s v="https://www.bbb.org/us/fl/homestead/profile/auto-repair/krome-auto-tire-svc-0633-90269976"/>
        <s v="https://www.bbb.org/us/fl/homestead/profile/paving-contractors/florida-paving-trucking-inc-0633-5003759"/>
        <s v="https://www.bbb.org/us/fl/miami/profile/heating-and-air-conditioning/kendale-air-conditioning-0633-23009691"/>
        <s v="https://www.bbb.org/us/fl/miami/profile/organic-food/brothers-produce-inc-0633-90067698"/>
        <s v="https://www.bbb.org/us/fl/pompano-beach/profile/auto-repair/fast-lane-auto-repairs-0633-90409985"/>
        <s v="https://www.bbb.org/us/fl/pompano-beach/profile/auto-repair/original-look-0633-90132733"/>
        <s v="https://www.bbb.org/us/fl/pompano-beach/profile/auto-repair/pompano-beach-texaco-0633-35000319"/>
        <s v="https://www.bbb.org/us/fl/pompano-beach/profile/auto-repair/the-auto-spot-0633-90092971"/>
        <s v="https://www.bbb.org/us/fl/pompano-beach/profile/mobile-auto-repair/our-shop-auto-repairs-inc-0633-90426905"/>
        <s v="https://www.bizapedia.com/fl/barahonas-food-distributor-llc.html"/>
        <s v="https://www.bizapedia.com/fl/loman-distributors-inc.html"/>
        <s v="https://www.buildzoom.com/contractor/professional-plumbing-corp"/>
        <s v="https://www.carriersource.io/carriers/high-quality-trucking-inc"/>
        <s v="https://www.constructgroupcorp.com/"/>
        <s v="https://www.dnb.com/business-directory/company-profiles.medley_machine_shop_inc.b0232bd608d5d99948dd3a3504105627.html"/>
        <s v="https://www.facebook.com/amigopallets/"/>
        <s v="https://www.facebook.com/doralfamilydentalfl/"/>
        <s v="https://www.facebook.com/hialeahbakery/"/>
        <s v="https://www.facebook.com/kkdentaldoral/"/>
        <s v="https://www.facebook.com/reydelasfritas/"/>
        <s v="https://www.facebook.com/rplantsinc/"/>
        <s v="https://www.manta.com/c/m1xl2v5/s-a-marine-services-llc"/>
        <s v="https://www.manta.com/c/mb04c42/just-plumbing"/>
        <s v="https://www.manta.com/c/mb5d3rb/land-sea-air-conditioning-of"/>
        <s v="https://www.manta.com/c/mbg66v7/tmc-import-export-co"/>
        <s v="https://www.manta.com/c/mbybsr5/ymp-real-estate-management-llc"/>
        <s v="https://www.manta.com/c/mh1g76d/marina-road-boat-yard"/>
        <s v="https://www.manta.com/c/mhcrbf8/super-diesel-truck-repair-inc"/>
        <s v="https://www.manta.com/c/mhkhbr0/lindsay-taylor-property-management-inc"/>
        <s v="https://www.manta.com/c/mhks6tw/conavenca-freight-forwarder-llc"/>
        <s v="https://www.manta.com/c/mhw02tp/cv-ac-expert-llc"/>
        <s v="https://www.manta.com/c/mhx9tn8/aa-florida-pallets-inc"/>
        <s v="https://www.manta.com/c/mkhwx2k/elite-yachting-solutions-llc"/>
        <s v="https://www.manta.com/c/mkxpthn/kryterion-property-services-llc"/>
        <s v="https://www.manta.com/c/mm08mz3/markon-realty-and-management-inc"/>
        <s v="https://www.manta.com/c/mm0jvj4/yachting-bliss"/>
        <s v="https://www.manta.com/c/mm21vw1/international-cruise-food-hotel-suppliers-inc"/>
        <s v="https://www.manta.com/c/mm2vydb/marante-forwarding-co-inc"/>
        <s v="https://www.manta.com/c/mm33hkb/doral-freight-logistics-inc"/>
        <s v="https://www.manta.com/c/mm43fmb/sari-express-forwarders-inc"/>
        <s v="https://www.manta.com/c/mm4dqwp/gondia-machine-shop"/>
        <s v="https://www.manta.com/c/mm7f0xx/all-power-marine-boat-lifts-docks"/>
        <s v="https://www.manta.com/c/mmcwr0p/steel-works-rebar-fabricators-llc"/>
        <s v="https://www.manta.com/c/mmf1sbc/manny-s-plumbing-service"/>
        <s v="https://www.manta.com/c/mmfvqs5/promptus-llc"/>
        <s v="https://www.manta.com/c/mmgmgjl/senaduana-freight-forwarders-inc"/>
        <s v="https://www.manta.com/c/mmn1h0x/jonel-knitting-mills-inc"/>
        <s v="https://www.manta.com/c/mmn3jvb/complete-yacht-care-inc"/>
        <s v="https://www.manta.com/c/mmym5vw/million-air-conditioning-corporation"/>
        <s v="https://www.manta.com/c/mr4tgvc/t-d-air-conditioning-inc"/>
        <s v="https://www.manta.com/c/mt4210t/j-j-freight-brokerage-inc"/>
        <s v="https://www.manta.com/c/mt4fd3r/malu-plumbing-inc"/>
        <s v="https://www.manta.com/c/mtbtgz9/rocco-plumbing-inc"/>
        <s v="https://www.manta.com/c/mtq3wsd/ocean-freight-link"/>
        <s v="https://www.manta.com/c/mtqlxt4/panther-co-inc"/>
        <s v="https://www.manta.com/c/mtry58n/r-k-a-xpress-inc"/>
        <s v="https://www.manta.com/c/mttg4zn/plumbing-experts"/>
        <s v="https://www.manta.com/c/mvvd9cj/liner-growers-nursery"/>
        <s v="https://www.manta.com/c/mw2lslb/three-js-management-corporation"/>
        <s v="https://www.manta.com/c/mx0vyzw/new-england-plumbing"/>
        <s v="https://www.manta.com/d/mm2thx3/lasseter-plumbing-company-inc"/>
        <s v="https://www.manta.com/mb_55_B52DB05K_33S/freight_forwarding/hialeah_fl"/>
        <s v="https://www.manta.com/mb_55_B80C105M_345/nursery_stock/homestead_fl"/>
        <s v="https://www.neighborhoods.com/blog/cuban-restaurants-in-little-havana-you-cant-miss"/>
        <s v="https://www.yellowpages.com/medley-fl/medley-steel-and-supply-inc"/>
        <s v="https://www.yellowpages.com/medley-fl/mip/all-welding-and-machine-shop-inc-474064250"/>
        <s v="https://www.yelp.com/biz/4-u-unlimited-miami"/>
        <s v="https://www.yelp.com/biz/complete-yacht-service-fort-lauderdale"/>
        <s v="https://www.yelp.com/biz/cyma-truck-repair-medley"/>
        <s v="https://www.yelp.com/biz/larosa-diesel-mechanical-medley"/>
        <s v="https://www.yelp.com/biz/los-tres-conejitos-bakery-hialeah"/>
        <s v="https://www.yelp.com/biz/martinez-distributors-miami-2"/>
        <s v="https://www.yelp.com/biz/medina-and-son-plumbing-supply-hialeah"/>
        <s v="https://www.yelp.com/biz/pablos-machine-shop-and-welding-corp-medley"/>
        <s v="https://www.yelp.com/biz/shoreline-marine-pompano-beach"/>
        <s v="https://www.yelp.com/biz/sudsies-dry-cleaners-miami-beach"/>
        <s v="https://www.yelp.com/biz/tango-body-shop-hialeah"/>
        <s v="https://www.yelp.com/biz/yacht-mechanics-of-florida-fort-lauderdale"/>
      </sharedItems>
    </cacheField>
    <cacheField name="Empleados (est.)" numFmtId="0">
      <sharedItems containsString="0" containsBlank="1" containsNumber="1" containsInteger="1" minValue="2" maxValue="100" count="14">
        <n v="2"/>
        <n v="3"/>
        <n v="5"/>
        <n v="6"/>
        <n v="7"/>
        <n v="10"/>
        <n v="11"/>
        <n v="17"/>
        <n v="25"/>
        <n v="50"/>
        <n v="55"/>
        <n v="66"/>
        <n v="100"/>
        <m/>
      </sharedItems>
    </cacheField>
    <cacheField name="Año fundación" numFmtId="0">
      <sharedItems containsString="0" containsBlank="1" containsNumber="1" containsInteger="1" minValue="1948" maxValue="2014" count="31">
        <n v="1948"/>
        <n v="1970"/>
        <n v="1973"/>
        <n v="1974"/>
        <n v="1976"/>
        <n v="1978"/>
        <n v="1981"/>
        <n v="1982"/>
        <n v="1986"/>
        <n v="1987"/>
        <n v="1988"/>
        <n v="1989"/>
        <n v="1990"/>
        <n v="1992"/>
        <n v="1993"/>
        <n v="1994"/>
        <n v="1996"/>
        <n v="1997"/>
        <n v="1998"/>
        <n v="1999"/>
        <n v="2001"/>
        <n v="2003"/>
        <n v="2004"/>
        <n v="2006"/>
        <n v="2007"/>
        <n v="2008"/>
        <n v="2009"/>
        <n v="2010"/>
        <n v="2012"/>
        <n v="2014"/>
        <m/>
      </sharedItems>
    </cacheField>
    <cacheField name="Peso web" numFmtId="0">
      <sharedItems containsSemiMixedTypes="0" containsString="0" containsNumber="1" containsInteger="1" minValue="1" maxValue="3" count="3">
        <n v="1"/>
        <n v="2"/>
        <n v="3"/>
      </sharedItems>
    </cacheField>
    <cacheField name="Peso sector" numFmtId="0">
      <sharedItems containsSemiMixedTypes="0" containsString="0" containsNumber="1" containsInteger="1" minValue="1" maxValue="3" count="3">
        <n v="1"/>
        <n v="2"/>
        <n v="3"/>
      </sharedItems>
    </cacheField>
    <cacheField name="Señal tamaño" numFmtId="0">
      <sharedItems containsSemiMixedTypes="0" containsString="0" containsNumber="1" containsInteger="1" minValue="0" maxValue="1" count="2">
        <n v="0"/>
        <n v="1"/>
      </sharedItems>
    </cacheField>
    <cacheField name="Puntaje" numFmtId="0">
      <sharedItems containsSemiMixedTypes="0" containsString="0" containsNumber="1" containsInteger="1" minValue="2" maxValue="7" count="6">
        <n v="2"/>
        <n v="3"/>
        <n v="4"/>
        <n v="5"/>
        <n v="6"/>
        <n v="7"/>
      </sharedItems>
    </cacheField>
    <cacheField name="Prioridad" numFmtId="0">
      <sharedItems count="4">
        <s v="A"/>
        <s v="B"/>
        <s v="C"/>
        <s v="Descartada"/>
      </sharedItems>
    </cacheField>
    <cacheField name="Estado Sunbiz" numFmtId="0">
      <sharedItems count="3">
        <s v="Active"/>
        <s v="Inactive"/>
        <s v="Pendiente"/>
      </sharedItems>
    </cacheField>
    <cacheField name="Próximo paso" numFmtId="0">
      <sharedItems containsBlank="1" count="2">
        <s v="Verificar Sunbiz (posible inactiva)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5">
  <r>
    <x v="0"/>
    <x v="31"/>
    <x v="3"/>
    <x v="2"/>
    <x v="1"/>
    <x v="25"/>
    <x v="2"/>
    <x v="2"/>
    <x v="1"/>
    <x v="2"/>
    <x v="10"/>
    <x v="0"/>
    <x v="59"/>
    <x v="61"/>
    <x v="8"/>
    <x v="9"/>
    <x v="2"/>
    <x v="1"/>
    <x v="1"/>
    <x v="4"/>
    <x v="0"/>
    <x v="2"/>
    <x v="1"/>
  </r>
  <r>
    <x v="1"/>
    <x v="80"/>
    <x v="7"/>
    <x v="2"/>
    <x v="1"/>
    <x v="16"/>
    <x v="4"/>
    <x v="2"/>
    <x v="2"/>
    <x v="2"/>
    <x v="1"/>
    <x v="2"/>
    <x v="39"/>
    <x v="57"/>
    <x v="5"/>
    <x v="24"/>
    <x v="2"/>
    <x v="1"/>
    <x v="1"/>
    <x v="4"/>
    <x v="0"/>
    <x v="2"/>
    <x v="1"/>
  </r>
  <r>
    <x v="2"/>
    <x v="4"/>
    <x v="7"/>
    <x v="2"/>
    <x v="1"/>
    <x v="47"/>
    <x v="4"/>
    <x v="2"/>
    <x v="1"/>
    <x v="2"/>
    <x v="10"/>
    <x v="0"/>
    <x v="68"/>
    <x v="80"/>
    <x v="13"/>
    <x v="30"/>
    <x v="2"/>
    <x v="1"/>
    <x v="0"/>
    <x v="3"/>
    <x v="1"/>
    <x v="2"/>
    <x v="1"/>
  </r>
  <r>
    <x v="3"/>
    <x v="27"/>
    <x v="3"/>
    <x v="2"/>
    <x v="1"/>
    <x v="15"/>
    <x v="5"/>
    <x v="3"/>
    <x v="0"/>
    <x v="2"/>
    <x v="10"/>
    <x v="0"/>
    <x v="70"/>
    <x v="7"/>
    <x v="13"/>
    <x v="11"/>
    <x v="2"/>
    <x v="1"/>
    <x v="1"/>
    <x v="4"/>
    <x v="0"/>
    <x v="0"/>
    <x v="1"/>
  </r>
  <r>
    <x v="4"/>
    <x v="23"/>
    <x v="5"/>
    <x v="2"/>
    <x v="1"/>
    <x v="42"/>
    <x v="1"/>
    <x v="1"/>
    <x v="1"/>
    <x v="2"/>
    <x v="8"/>
    <x v="2"/>
    <x v="28"/>
    <x v="16"/>
    <x v="13"/>
    <x v="13"/>
    <x v="2"/>
    <x v="2"/>
    <x v="1"/>
    <x v="5"/>
    <x v="0"/>
    <x v="2"/>
    <x v="1"/>
  </r>
  <r>
    <x v="5"/>
    <x v="50"/>
    <x v="3"/>
    <x v="2"/>
    <x v="1"/>
    <x v="23"/>
    <x v="6"/>
    <x v="4"/>
    <x v="1"/>
    <x v="2"/>
    <x v="10"/>
    <x v="0"/>
    <x v="23"/>
    <x v="52"/>
    <x v="13"/>
    <x v="1"/>
    <x v="2"/>
    <x v="2"/>
    <x v="1"/>
    <x v="5"/>
    <x v="0"/>
    <x v="2"/>
    <x v="0"/>
  </r>
  <r>
    <x v="6"/>
    <x v="91"/>
    <x v="7"/>
    <x v="2"/>
    <x v="1"/>
    <x v="50"/>
    <x v="6"/>
    <x v="4"/>
    <x v="1"/>
    <x v="3"/>
    <x v="10"/>
    <x v="0"/>
    <x v="26"/>
    <x v="0"/>
    <x v="10"/>
    <x v="8"/>
    <x v="2"/>
    <x v="2"/>
    <x v="1"/>
    <x v="5"/>
    <x v="0"/>
    <x v="2"/>
    <x v="1"/>
  </r>
  <r>
    <x v="7"/>
    <x v="12"/>
    <x v="4"/>
    <x v="2"/>
    <x v="1"/>
    <x v="8"/>
    <x v="1"/>
    <x v="1"/>
    <x v="0"/>
    <x v="3"/>
    <x v="12"/>
    <x v="2"/>
    <x v="34"/>
    <x v="28"/>
    <x v="12"/>
    <x v="20"/>
    <x v="2"/>
    <x v="2"/>
    <x v="1"/>
    <x v="5"/>
    <x v="0"/>
    <x v="2"/>
    <x v="1"/>
  </r>
  <r>
    <x v="8"/>
    <x v="68"/>
    <x v="3"/>
    <x v="2"/>
    <x v="1"/>
    <x v="9"/>
    <x v="1"/>
    <x v="1"/>
    <x v="0"/>
    <x v="3"/>
    <x v="1"/>
    <x v="2"/>
    <x v="14"/>
    <x v="26"/>
    <x v="13"/>
    <x v="2"/>
    <x v="2"/>
    <x v="2"/>
    <x v="1"/>
    <x v="5"/>
    <x v="0"/>
    <x v="2"/>
    <x v="1"/>
  </r>
  <r>
    <x v="9"/>
    <x v="1"/>
    <x v="7"/>
    <x v="2"/>
    <x v="1"/>
    <x v="17"/>
    <x v="3"/>
    <x v="2"/>
    <x v="1"/>
    <x v="3"/>
    <x v="10"/>
    <x v="0"/>
    <x v="71"/>
    <x v="46"/>
    <x v="13"/>
    <x v="30"/>
    <x v="2"/>
    <x v="1"/>
    <x v="0"/>
    <x v="3"/>
    <x v="1"/>
    <x v="2"/>
    <x v="1"/>
  </r>
  <r>
    <x v="10"/>
    <x v="28"/>
    <x v="7"/>
    <x v="2"/>
    <x v="1"/>
    <x v="51"/>
    <x v="6"/>
    <x v="4"/>
    <x v="1"/>
    <x v="3"/>
    <x v="10"/>
    <x v="0"/>
    <x v="38"/>
    <x v="27"/>
    <x v="11"/>
    <x v="23"/>
    <x v="2"/>
    <x v="2"/>
    <x v="1"/>
    <x v="5"/>
    <x v="0"/>
    <x v="2"/>
    <x v="1"/>
  </r>
  <r>
    <x v="11"/>
    <x v="26"/>
    <x v="3"/>
    <x v="2"/>
    <x v="1"/>
    <x v="41"/>
    <x v="2"/>
    <x v="2"/>
    <x v="1"/>
    <x v="4"/>
    <x v="1"/>
    <x v="2"/>
    <x v="29"/>
    <x v="32"/>
    <x v="13"/>
    <x v="16"/>
    <x v="0"/>
    <x v="1"/>
    <x v="1"/>
    <x v="2"/>
    <x v="1"/>
    <x v="2"/>
    <x v="1"/>
  </r>
  <r>
    <x v="12"/>
    <x v="45"/>
    <x v="3"/>
    <x v="2"/>
    <x v="1"/>
    <x v="41"/>
    <x v="2"/>
    <x v="2"/>
    <x v="3"/>
    <x v="0"/>
    <x v="12"/>
    <x v="2"/>
    <x v="35"/>
    <x v="85"/>
    <x v="13"/>
    <x v="20"/>
    <x v="0"/>
    <x v="1"/>
    <x v="0"/>
    <x v="1"/>
    <x v="2"/>
    <x v="2"/>
    <x v="1"/>
  </r>
  <r>
    <x v="13"/>
    <x v="86"/>
    <x v="3"/>
    <x v="2"/>
    <x v="1"/>
    <x v="2"/>
    <x v="10"/>
    <x v="8"/>
    <x v="3"/>
    <x v="0"/>
    <x v="12"/>
    <x v="2"/>
    <x v="1"/>
    <x v="91"/>
    <x v="13"/>
    <x v="30"/>
    <x v="0"/>
    <x v="1"/>
    <x v="0"/>
    <x v="1"/>
    <x v="2"/>
    <x v="2"/>
    <x v="1"/>
  </r>
  <r>
    <x v="14"/>
    <x v="67"/>
    <x v="3"/>
    <x v="2"/>
    <x v="1"/>
    <x v="2"/>
    <x v="10"/>
    <x v="8"/>
    <x v="2"/>
    <x v="1"/>
    <x v="13"/>
    <x v="2"/>
    <x v="19"/>
    <x v="13"/>
    <x v="13"/>
    <x v="25"/>
    <x v="1"/>
    <x v="1"/>
    <x v="0"/>
    <x v="2"/>
    <x v="1"/>
    <x v="2"/>
    <x v="1"/>
  </r>
  <r>
    <x v="15"/>
    <x v="76"/>
    <x v="3"/>
    <x v="2"/>
    <x v="1"/>
    <x v="23"/>
    <x v="6"/>
    <x v="4"/>
    <x v="1"/>
    <x v="0"/>
    <x v="10"/>
    <x v="0"/>
    <x v="65"/>
    <x v="54"/>
    <x v="13"/>
    <x v="30"/>
    <x v="0"/>
    <x v="2"/>
    <x v="0"/>
    <x v="2"/>
    <x v="1"/>
    <x v="2"/>
    <x v="1"/>
  </r>
  <r>
    <x v="16"/>
    <x v="24"/>
    <x v="3"/>
    <x v="2"/>
    <x v="1"/>
    <x v="22"/>
    <x v="6"/>
    <x v="4"/>
    <x v="1"/>
    <x v="0"/>
    <x v="10"/>
    <x v="0"/>
    <x v="11"/>
    <x v="76"/>
    <x v="13"/>
    <x v="30"/>
    <x v="0"/>
    <x v="2"/>
    <x v="0"/>
    <x v="2"/>
    <x v="1"/>
    <x v="2"/>
    <x v="1"/>
  </r>
  <r>
    <x v="17"/>
    <x v="49"/>
    <x v="3"/>
    <x v="2"/>
    <x v="1"/>
    <x v="14"/>
    <x v="5"/>
    <x v="3"/>
    <x v="0"/>
    <x v="0"/>
    <x v="10"/>
    <x v="0"/>
    <x v="67"/>
    <x v="6"/>
    <x v="13"/>
    <x v="30"/>
    <x v="0"/>
    <x v="1"/>
    <x v="0"/>
    <x v="1"/>
    <x v="2"/>
    <x v="2"/>
    <x v="1"/>
  </r>
  <r>
    <x v="18"/>
    <x v="55"/>
    <x v="3"/>
    <x v="2"/>
    <x v="1"/>
    <x v="15"/>
    <x v="5"/>
    <x v="3"/>
    <x v="1"/>
    <x v="4"/>
    <x v="5"/>
    <x v="2"/>
    <x v="16"/>
    <x v="87"/>
    <x v="13"/>
    <x v="9"/>
    <x v="0"/>
    <x v="1"/>
    <x v="1"/>
    <x v="2"/>
    <x v="1"/>
    <x v="2"/>
    <x v="1"/>
  </r>
  <r>
    <x v="19"/>
    <x v="47"/>
    <x v="3"/>
    <x v="2"/>
    <x v="1"/>
    <x v="43"/>
    <x v="1"/>
    <x v="1"/>
    <x v="3"/>
    <x v="0"/>
    <x v="10"/>
    <x v="0"/>
    <x v="54"/>
    <x v="58"/>
    <x v="13"/>
    <x v="30"/>
    <x v="0"/>
    <x v="2"/>
    <x v="0"/>
    <x v="2"/>
    <x v="1"/>
    <x v="2"/>
    <x v="1"/>
  </r>
  <r>
    <x v="20"/>
    <x v="3"/>
    <x v="3"/>
    <x v="2"/>
    <x v="1"/>
    <x v="53"/>
    <x v="4"/>
    <x v="2"/>
    <x v="1"/>
    <x v="4"/>
    <x v="6"/>
    <x v="2"/>
    <x v="45"/>
    <x v="14"/>
    <x v="13"/>
    <x v="21"/>
    <x v="0"/>
    <x v="1"/>
    <x v="0"/>
    <x v="1"/>
    <x v="2"/>
    <x v="2"/>
    <x v="1"/>
  </r>
  <r>
    <x v="21"/>
    <x v="64"/>
    <x v="7"/>
    <x v="2"/>
    <x v="1"/>
    <x v="52"/>
    <x v="6"/>
    <x v="4"/>
    <x v="1"/>
    <x v="4"/>
    <x v="3"/>
    <x v="2"/>
    <x v="27"/>
    <x v="69"/>
    <x v="7"/>
    <x v="11"/>
    <x v="0"/>
    <x v="2"/>
    <x v="1"/>
    <x v="3"/>
    <x v="1"/>
    <x v="2"/>
    <x v="1"/>
  </r>
  <r>
    <x v="22"/>
    <x v="57"/>
    <x v="7"/>
    <x v="2"/>
    <x v="1"/>
    <x v="11"/>
    <x v="5"/>
    <x v="3"/>
    <x v="1"/>
    <x v="4"/>
    <x v="7"/>
    <x v="2"/>
    <x v="15"/>
    <x v="79"/>
    <x v="13"/>
    <x v="5"/>
    <x v="0"/>
    <x v="1"/>
    <x v="1"/>
    <x v="2"/>
    <x v="1"/>
    <x v="2"/>
    <x v="1"/>
  </r>
  <r>
    <x v="23"/>
    <x v="6"/>
    <x v="7"/>
    <x v="2"/>
    <x v="1"/>
    <x v="17"/>
    <x v="3"/>
    <x v="2"/>
    <x v="1"/>
    <x v="4"/>
    <x v="3"/>
    <x v="2"/>
    <x v="40"/>
    <x v="30"/>
    <x v="13"/>
    <x v="27"/>
    <x v="0"/>
    <x v="1"/>
    <x v="0"/>
    <x v="1"/>
    <x v="2"/>
    <x v="2"/>
    <x v="1"/>
  </r>
  <r>
    <x v="24"/>
    <x v="56"/>
    <x v="7"/>
    <x v="2"/>
    <x v="1"/>
    <x v="48"/>
    <x v="4"/>
    <x v="2"/>
    <x v="1"/>
    <x v="4"/>
    <x v="10"/>
    <x v="0"/>
    <x v="44"/>
    <x v="29"/>
    <x v="13"/>
    <x v="15"/>
    <x v="0"/>
    <x v="1"/>
    <x v="1"/>
    <x v="2"/>
    <x v="1"/>
    <x v="2"/>
    <x v="1"/>
  </r>
  <r>
    <x v="25"/>
    <x v="63"/>
    <x v="7"/>
    <x v="2"/>
    <x v="1"/>
    <x v="26"/>
    <x v="10"/>
    <x v="8"/>
    <x v="0"/>
    <x v="1"/>
    <x v="12"/>
    <x v="2"/>
    <x v="48"/>
    <x v="88"/>
    <x v="13"/>
    <x v="28"/>
    <x v="1"/>
    <x v="1"/>
    <x v="0"/>
    <x v="2"/>
    <x v="1"/>
    <x v="2"/>
    <x v="1"/>
  </r>
  <r>
    <x v="26"/>
    <x v="25"/>
    <x v="7"/>
    <x v="2"/>
    <x v="1"/>
    <x v="48"/>
    <x v="4"/>
    <x v="2"/>
    <x v="3"/>
    <x v="0"/>
    <x v="10"/>
    <x v="0"/>
    <x v="65"/>
    <x v="55"/>
    <x v="13"/>
    <x v="30"/>
    <x v="0"/>
    <x v="1"/>
    <x v="0"/>
    <x v="1"/>
    <x v="2"/>
    <x v="2"/>
    <x v="1"/>
  </r>
  <r>
    <x v="27"/>
    <x v="83"/>
    <x v="7"/>
    <x v="2"/>
    <x v="1"/>
    <x v="45"/>
    <x v="10"/>
    <x v="8"/>
    <x v="1"/>
    <x v="4"/>
    <x v="14"/>
    <x v="2"/>
    <x v="2"/>
    <x v="42"/>
    <x v="13"/>
    <x v="30"/>
    <x v="0"/>
    <x v="1"/>
    <x v="0"/>
    <x v="1"/>
    <x v="2"/>
    <x v="2"/>
    <x v="1"/>
  </r>
  <r>
    <x v="28"/>
    <x v="40"/>
    <x v="7"/>
    <x v="2"/>
    <x v="1"/>
    <x v="45"/>
    <x v="10"/>
    <x v="8"/>
    <x v="3"/>
    <x v="0"/>
    <x v="12"/>
    <x v="2"/>
    <x v="69"/>
    <x v="84"/>
    <x v="13"/>
    <x v="30"/>
    <x v="0"/>
    <x v="1"/>
    <x v="0"/>
    <x v="1"/>
    <x v="2"/>
    <x v="2"/>
    <x v="1"/>
  </r>
  <r>
    <x v="29"/>
    <x v="14"/>
    <x v="7"/>
    <x v="2"/>
    <x v="1"/>
    <x v="45"/>
    <x v="10"/>
    <x v="8"/>
    <x v="3"/>
    <x v="0"/>
    <x v="12"/>
    <x v="2"/>
    <x v="69"/>
    <x v="83"/>
    <x v="13"/>
    <x v="30"/>
    <x v="0"/>
    <x v="1"/>
    <x v="0"/>
    <x v="1"/>
    <x v="2"/>
    <x v="2"/>
    <x v="1"/>
  </r>
  <r>
    <x v="30"/>
    <x v="29"/>
    <x v="7"/>
    <x v="2"/>
    <x v="1"/>
    <x v="10"/>
    <x v="5"/>
    <x v="3"/>
    <x v="1"/>
    <x v="4"/>
    <x v="9"/>
    <x v="2"/>
    <x v="47"/>
    <x v="51"/>
    <x v="13"/>
    <x v="18"/>
    <x v="0"/>
    <x v="1"/>
    <x v="1"/>
    <x v="2"/>
    <x v="1"/>
    <x v="2"/>
    <x v="1"/>
  </r>
  <r>
    <x v="31"/>
    <x v="5"/>
    <x v="7"/>
    <x v="2"/>
    <x v="1"/>
    <x v="13"/>
    <x v="5"/>
    <x v="3"/>
    <x v="1"/>
    <x v="3"/>
    <x v="10"/>
    <x v="0"/>
    <x v="72"/>
    <x v="8"/>
    <x v="13"/>
    <x v="30"/>
    <x v="2"/>
    <x v="1"/>
    <x v="0"/>
    <x v="3"/>
    <x v="1"/>
    <x v="2"/>
    <x v="1"/>
  </r>
  <r>
    <x v="32"/>
    <x v="81"/>
    <x v="7"/>
    <x v="2"/>
    <x v="1"/>
    <x v="44"/>
    <x v="3"/>
    <x v="2"/>
    <x v="1"/>
    <x v="0"/>
    <x v="10"/>
    <x v="0"/>
    <x v="30"/>
    <x v="1"/>
    <x v="13"/>
    <x v="16"/>
    <x v="0"/>
    <x v="1"/>
    <x v="1"/>
    <x v="2"/>
    <x v="1"/>
    <x v="2"/>
    <x v="1"/>
  </r>
  <r>
    <x v="33"/>
    <x v="16"/>
    <x v="1"/>
    <x v="2"/>
    <x v="1"/>
    <x v="24"/>
    <x v="6"/>
    <x v="4"/>
    <x v="1"/>
    <x v="4"/>
    <x v="10"/>
    <x v="0"/>
    <x v="33"/>
    <x v="53"/>
    <x v="9"/>
    <x v="19"/>
    <x v="0"/>
    <x v="2"/>
    <x v="1"/>
    <x v="3"/>
    <x v="1"/>
    <x v="2"/>
    <x v="1"/>
  </r>
  <r>
    <x v="34"/>
    <x v="77"/>
    <x v="1"/>
    <x v="2"/>
    <x v="1"/>
    <x v="23"/>
    <x v="6"/>
    <x v="4"/>
    <x v="1"/>
    <x v="4"/>
    <x v="4"/>
    <x v="2"/>
    <x v="36"/>
    <x v="60"/>
    <x v="13"/>
    <x v="22"/>
    <x v="0"/>
    <x v="2"/>
    <x v="0"/>
    <x v="2"/>
    <x v="1"/>
    <x v="2"/>
    <x v="1"/>
  </r>
  <r>
    <x v="35"/>
    <x v="11"/>
    <x v="1"/>
    <x v="2"/>
    <x v="1"/>
    <x v="23"/>
    <x v="6"/>
    <x v="4"/>
    <x v="2"/>
    <x v="0"/>
    <x v="10"/>
    <x v="0"/>
    <x v="65"/>
    <x v="44"/>
    <x v="13"/>
    <x v="30"/>
    <x v="0"/>
    <x v="2"/>
    <x v="0"/>
    <x v="2"/>
    <x v="1"/>
    <x v="2"/>
    <x v="1"/>
  </r>
  <r>
    <x v="36"/>
    <x v="89"/>
    <x v="1"/>
    <x v="2"/>
    <x v="1"/>
    <x v="20"/>
    <x v="5"/>
    <x v="3"/>
    <x v="2"/>
    <x v="4"/>
    <x v="10"/>
    <x v="0"/>
    <x v="25"/>
    <x v="39"/>
    <x v="6"/>
    <x v="6"/>
    <x v="0"/>
    <x v="1"/>
    <x v="1"/>
    <x v="2"/>
    <x v="1"/>
    <x v="2"/>
    <x v="1"/>
  </r>
  <r>
    <x v="37"/>
    <x v="7"/>
    <x v="1"/>
    <x v="2"/>
    <x v="1"/>
    <x v="12"/>
    <x v="5"/>
    <x v="3"/>
    <x v="2"/>
    <x v="0"/>
    <x v="10"/>
    <x v="0"/>
    <x v="61"/>
    <x v="24"/>
    <x v="13"/>
    <x v="30"/>
    <x v="0"/>
    <x v="1"/>
    <x v="0"/>
    <x v="1"/>
    <x v="2"/>
    <x v="2"/>
    <x v="1"/>
  </r>
  <r>
    <x v="38"/>
    <x v="44"/>
    <x v="1"/>
    <x v="2"/>
    <x v="1"/>
    <x v="14"/>
    <x v="5"/>
    <x v="3"/>
    <x v="1"/>
    <x v="0"/>
    <x v="10"/>
    <x v="0"/>
    <x v="61"/>
    <x v="25"/>
    <x v="13"/>
    <x v="30"/>
    <x v="0"/>
    <x v="1"/>
    <x v="0"/>
    <x v="1"/>
    <x v="2"/>
    <x v="2"/>
    <x v="1"/>
  </r>
  <r>
    <x v="39"/>
    <x v="33"/>
    <x v="1"/>
    <x v="2"/>
    <x v="1"/>
    <x v="6"/>
    <x v="8"/>
    <x v="6"/>
    <x v="3"/>
    <x v="0"/>
    <x v="1"/>
    <x v="2"/>
    <x v="63"/>
    <x v="33"/>
    <x v="13"/>
    <x v="30"/>
    <x v="0"/>
    <x v="2"/>
    <x v="0"/>
    <x v="2"/>
    <x v="1"/>
    <x v="2"/>
    <x v="1"/>
  </r>
  <r>
    <x v="40"/>
    <x v="15"/>
    <x v="1"/>
    <x v="2"/>
    <x v="1"/>
    <x v="6"/>
    <x v="8"/>
    <x v="6"/>
    <x v="3"/>
    <x v="0"/>
    <x v="1"/>
    <x v="2"/>
    <x v="63"/>
    <x v="31"/>
    <x v="13"/>
    <x v="30"/>
    <x v="0"/>
    <x v="2"/>
    <x v="0"/>
    <x v="2"/>
    <x v="1"/>
    <x v="2"/>
    <x v="1"/>
  </r>
  <r>
    <x v="41"/>
    <x v="8"/>
    <x v="8"/>
    <x v="0"/>
    <x v="1"/>
    <x v="28"/>
    <x v="5"/>
    <x v="3"/>
    <x v="1"/>
    <x v="4"/>
    <x v="13"/>
    <x v="2"/>
    <x v="42"/>
    <x v="18"/>
    <x v="13"/>
    <x v="12"/>
    <x v="0"/>
    <x v="1"/>
    <x v="1"/>
    <x v="2"/>
    <x v="1"/>
    <x v="2"/>
    <x v="1"/>
  </r>
  <r>
    <x v="42"/>
    <x v="0"/>
    <x v="8"/>
    <x v="0"/>
    <x v="1"/>
    <x v="14"/>
    <x v="5"/>
    <x v="3"/>
    <x v="3"/>
    <x v="0"/>
    <x v="12"/>
    <x v="2"/>
    <x v="69"/>
    <x v="81"/>
    <x v="13"/>
    <x v="30"/>
    <x v="0"/>
    <x v="1"/>
    <x v="0"/>
    <x v="1"/>
    <x v="2"/>
    <x v="2"/>
    <x v="1"/>
  </r>
  <r>
    <x v="43"/>
    <x v="20"/>
    <x v="8"/>
    <x v="0"/>
    <x v="1"/>
    <x v="28"/>
    <x v="5"/>
    <x v="3"/>
    <x v="1"/>
    <x v="4"/>
    <x v="10"/>
    <x v="0"/>
    <x v="4"/>
    <x v="5"/>
    <x v="13"/>
    <x v="30"/>
    <x v="0"/>
    <x v="1"/>
    <x v="0"/>
    <x v="1"/>
    <x v="2"/>
    <x v="2"/>
    <x v="1"/>
  </r>
  <r>
    <x v="44"/>
    <x v="53"/>
    <x v="8"/>
    <x v="0"/>
    <x v="1"/>
    <x v="27"/>
    <x v="5"/>
    <x v="3"/>
    <x v="1"/>
    <x v="4"/>
    <x v="5"/>
    <x v="2"/>
    <x v="18"/>
    <x v="86"/>
    <x v="13"/>
    <x v="17"/>
    <x v="0"/>
    <x v="1"/>
    <x v="1"/>
    <x v="2"/>
    <x v="1"/>
    <x v="2"/>
    <x v="1"/>
  </r>
  <r>
    <x v="45"/>
    <x v="18"/>
    <x v="8"/>
    <x v="1"/>
    <x v="1"/>
    <x v="46"/>
    <x v="9"/>
    <x v="7"/>
    <x v="3"/>
    <x v="4"/>
    <x v="1"/>
    <x v="2"/>
    <x v="10"/>
    <x v="34"/>
    <x v="13"/>
    <x v="7"/>
    <x v="0"/>
    <x v="0"/>
    <x v="1"/>
    <x v="1"/>
    <x v="2"/>
    <x v="2"/>
    <x v="1"/>
  </r>
  <r>
    <x v="46"/>
    <x v="17"/>
    <x v="8"/>
    <x v="1"/>
    <x v="1"/>
    <x v="46"/>
    <x v="9"/>
    <x v="7"/>
    <x v="3"/>
    <x v="0"/>
    <x v="10"/>
    <x v="0"/>
    <x v="41"/>
    <x v="78"/>
    <x v="13"/>
    <x v="3"/>
    <x v="0"/>
    <x v="0"/>
    <x v="1"/>
    <x v="1"/>
    <x v="2"/>
    <x v="2"/>
    <x v="1"/>
  </r>
  <r>
    <x v="47"/>
    <x v="34"/>
    <x v="6"/>
    <x v="2"/>
    <x v="1"/>
    <x v="18"/>
    <x v="1"/>
    <x v="1"/>
    <x v="1"/>
    <x v="4"/>
    <x v="4"/>
    <x v="2"/>
    <x v="17"/>
    <x v="17"/>
    <x v="13"/>
    <x v="10"/>
    <x v="0"/>
    <x v="2"/>
    <x v="1"/>
    <x v="3"/>
    <x v="1"/>
    <x v="2"/>
    <x v="1"/>
  </r>
  <r>
    <x v="48"/>
    <x v="36"/>
    <x v="6"/>
    <x v="2"/>
    <x v="1"/>
    <x v="7"/>
    <x v="8"/>
    <x v="6"/>
    <x v="1"/>
    <x v="0"/>
    <x v="10"/>
    <x v="0"/>
    <x v="62"/>
    <x v="3"/>
    <x v="13"/>
    <x v="30"/>
    <x v="0"/>
    <x v="2"/>
    <x v="0"/>
    <x v="2"/>
    <x v="1"/>
    <x v="2"/>
    <x v="1"/>
  </r>
  <r>
    <x v="49"/>
    <x v="35"/>
    <x v="6"/>
    <x v="2"/>
    <x v="1"/>
    <x v="7"/>
    <x v="8"/>
    <x v="6"/>
    <x v="1"/>
    <x v="0"/>
    <x v="10"/>
    <x v="0"/>
    <x v="62"/>
    <x v="2"/>
    <x v="13"/>
    <x v="30"/>
    <x v="0"/>
    <x v="2"/>
    <x v="0"/>
    <x v="2"/>
    <x v="1"/>
    <x v="2"/>
    <x v="1"/>
  </r>
  <r>
    <x v="50"/>
    <x v="37"/>
    <x v="5"/>
    <x v="2"/>
    <x v="1"/>
    <x v="5"/>
    <x v="10"/>
    <x v="8"/>
    <x v="1"/>
    <x v="4"/>
    <x v="0"/>
    <x v="2"/>
    <x v="43"/>
    <x v="15"/>
    <x v="13"/>
    <x v="13"/>
    <x v="0"/>
    <x v="1"/>
    <x v="1"/>
    <x v="2"/>
    <x v="1"/>
    <x v="2"/>
    <x v="1"/>
  </r>
  <r>
    <x v="51"/>
    <x v="72"/>
    <x v="5"/>
    <x v="2"/>
    <x v="1"/>
    <x v="54"/>
    <x v="0"/>
    <x v="0"/>
    <x v="1"/>
    <x v="4"/>
    <x v="3"/>
    <x v="2"/>
    <x v="32"/>
    <x v="35"/>
    <x v="13"/>
    <x v="17"/>
    <x v="0"/>
    <x v="0"/>
    <x v="1"/>
    <x v="1"/>
    <x v="2"/>
    <x v="2"/>
    <x v="1"/>
  </r>
  <r>
    <x v="52"/>
    <x v="43"/>
    <x v="5"/>
    <x v="2"/>
    <x v="1"/>
    <x v="54"/>
    <x v="0"/>
    <x v="0"/>
    <x v="3"/>
    <x v="0"/>
    <x v="10"/>
    <x v="0"/>
    <x v="66"/>
    <x v="72"/>
    <x v="13"/>
    <x v="30"/>
    <x v="0"/>
    <x v="0"/>
    <x v="0"/>
    <x v="0"/>
    <x v="2"/>
    <x v="2"/>
    <x v="1"/>
  </r>
  <r>
    <x v="53"/>
    <x v="48"/>
    <x v="5"/>
    <x v="2"/>
    <x v="1"/>
    <x v="54"/>
    <x v="0"/>
    <x v="0"/>
    <x v="1"/>
    <x v="0"/>
    <x v="10"/>
    <x v="0"/>
    <x v="12"/>
    <x v="77"/>
    <x v="13"/>
    <x v="30"/>
    <x v="0"/>
    <x v="0"/>
    <x v="0"/>
    <x v="0"/>
    <x v="2"/>
    <x v="2"/>
    <x v="1"/>
  </r>
  <r>
    <x v="54"/>
    <x v="70"/>
    <x v="5"/>
    <x v="2"/>
    <x v="1"/>
    <x v="54"/>
    <x v="0"/>
    <x v="0"/>
    <x v="1"/>
    <x v="0"/>
    <x v="10"/>
    <x v="0"/>
    <x v="12"/>
    <x v="77"/>
    <x v="13"/>
    <x v="30"/>
    <x v="0"/>
    <x v="0"/>
    <x v="0"/>
    <x v="0"/>
    <x v="2"/>
    <x v="2"/>
    <x v="1"/>
  </r>
  <r>
    <x v="55"/>
    <x v="54"/>
    <x v="5"/>
    <x v="2"/>
    <x v="1"/>
    <x v="54"/>
    <x v="0"/>
    <x v="0"/>
    <x v="3"/>
    <x v="0"/>
    <x v="10"/>
    <x v="0"/>
    <x v="12"/>
    <x v="77"/>
    <x v="13"/>
    <x v="30"/>
    <x v="0"/>
    <x v="0"/>
    <x v="0"/>
    <x v="0"/>
    <x v="2"/>
    <x v="2"/>
    <x v="1"/>
  </r>
  <r>
    <x v="56"/>
    <x v="75"/>
    <x v="5"/>
    <x v="2"/>
    <x v="1"/>
    <x v="1"/>
    <x v="0"/>
    <x v="0"/>
    <x v="3"/>
    <x v="0"/>
    <x v="10"/>
    <x v="0"/>
    <x v="13"/>
    <x v="4"/>
    <x v="13"/>
    <x v="0"/>
    <x v="0"/>
    <x v="0"/>
    <x v="1"/>
    <x v="1"/>
    <x v="2"/>
    <x v="2"/>
    <x v="1"/>
  </r>
  <r>
    <x v="57"/>
    <x v="82"/>
    <x v="9"/>
    <x v="2"/>
    <x v="1"/>
    <x v="49"/>
    <x v="10"/>
    <x v="8"/>
    <x v="3"/>
    <x v="0"/>
    <x v="12"/>
    <x v="2"/>
    <x v="31"/>
    <x v="90"/>
    <x v="13"/>
    <x v="16"/>
    <x v="0"/>
    <x v="1"/>
    <x v="1"/>
    <x v="2"/>
    <x v="1"/>
    <x v="2"/>
    <x v="1"/>
  </r>
  <r>
    <x v="58"/>
    <x v="10"/>
    <x v="2"/>
    <x v="2"/>
    <x v="0"/>
    <x v="34"/>
    <x v="10"/>
    <x v="8"/>
    <x v="1"/>
    <x v="2"/>
    <x v="5"/>
    <x v="2"/>
    <x v="24"/>
    <x v="82"/>
    <x v="3"/>
    <x v="4"/>
    <x v="2"/>
    <x v="1"/>
    <x v="1"/>
    <x v="4"/>
    <x v="0"/>
    <x v="0"/>
    <x v="1"/>
  </r>
  <r>
    <x v="59"/>
    <x v="84"/>
    <x v="2"/>
    <x v="2"/>
    <x v="0"/>
    <x v="40"/>
    <x v="10"/>
    <x v="8"/>
    <x v="3"/>
    <x v="2"/>
    <x v="10"/>
    <x v="0"/>
    <x v="6"/>
    <x v="12"/>
    <x v="13"/>
    <x v="14"/>
    <x v="2"/>
    <x v="1"/>
    <x v="1"/>
    <x v="4"/>
    <x v="0"/>
    <x v="2"/>
    <x v="1"/>
  </r>
  <r>
    <x v="60"/>
    <x v="90"/>
    <x v="2"/>
    <x v="2"/>
    <x v="0"/>
    <x v="35"/>
    <x v="10"/>
    <x v="8"/>
    <x v="3"/>
    <x v="2"/>
    <x v="10"/>
    <x v="0"/>
    <x v="7"/>
    <x v="11"/>
    <x v="13"/>
    <x v="19"/>
    <x v="2"/>
    <x v="1"/>
    <x v="1"/>
    <x v="4"/>
    <x v="0"/>
    <x v="2"/>
    <x v="1"/>
  </r>
  <r>
    <x v="61"/>
    <x v="9"/>
    <x v="2"/>
    <x v="2"/>
    <x v="0"/>
    <x v="32"/>
    <x v="10"/>
    <x v="8"/>
    <x v="1"/>
    <x v="2"/>
    <x v="10"/>
    <x v="0"/>
    <x v="46"/>
    <x v="62"/>
    <x v="13"/>
    <x v="23"/>
    <x v="2"/>
    <x v="1"/>
    <x v="0"/>
    <x v="3"/>
    <x v="1"/>
    <x v="2"/>
    <x v="1"/>
  </r>
  <r>
    <x v="62"/>
    <x v="78"/>
    <x v="2"/>
    <x v="2"/>
    <x v="0"/>
    <x v="39"/>
    <x v="10"/>
    <x v="8"/>
    <x v="1"/>
    <x v="2"/>
    <x v="10"/>
    <x v="0"/>
    <x v="5"/>
    <x v="10"/>
    <x v="13"/>
    <x v="30"/>
    <x v="2"/>
    <x v="1"/>
    <x v="0"/>
    <x v="3"/>
    <x v="3"/>
    <x v="1"/>
    <x v="1"/>
  </r>
  <r>
    <x v="63"/>
    <x v="79"/>
    <x v="14"/>
    <x v="2"/>
    <x v="0"/>
    <x v="37"/>
    <x v="10"/>
    <x v="8"/>
    <x v="2"/>
    <x v="2"/>
    <x v="1"/>
    <x v="2"/>
    <x v="22"/>
    <x v="89"/>
    <x v="13"/>
    <x v="29"/>
    <x v="2"/>
    <x v="1"/>
    <x v="0"/>
    <x v="3"/>
    <x v="1"/>
    <x v="2"/>
    <x v="1"/>
  </r>
  <r>
    <x v="64"/>
    <x v="92"/>
    <x v="2"/>
    <x v="2"/>
    <x v="0"/>
    <x v="33"/>
    <x v="10"/>
    <x v="8"/>
    <x v="3"/>
    <x v="3"/>
    <x v="13"/>
    <x v="2"/>
    <x v="3"/>
    <x v="92"/>
    <x v="13"/>
    <x v="30"/>
    <x v="2"/>
    <x v="1"/>
    <x v="0"/>
    <x v="3"/>
    <x v="1"/>
    <x v="2"/>
    <x v="1"/>
  </r>
  <r>
    <x v="65"/>
    <x v="39"/>
    <x v="0"/>
    <x v="2"/>
    <x v="0"/>
    <x v="18"/>
    <x v="1"/>
    <x v="1"/>
    <x v="1"/>
    <x v="2"/>
    <x v="5"/>
    <x v="2"/>
    <x v="20"/>
    <x v="38"/>
    <x v="13"/>
    <x v="25"/>
    <x v="2"/>
    <x v="2"/>
    <x v="0"/>
    <x v="4"/>
    <x v="1"/>
    <x v="2"/>
    <x v="1"/>
  </r>
  <r>
    <x v="66"/>
    <x v="58"/>
    <x v="0"/>
    <x v="2"/>
    <x v="0"/>
    <x v="18"/>
    <x v="1"/>
    <x v="1"/>
    <x v="0"/>
    <x v="2"/>
    <x v="10"/>
    <x v="0"/>
    <x v="37"/>
    <x v="63"/>
    <x v="1"/>
    <x v="23"/>
    <x v="2"/>
    <x v="2"/>
    <x v="0"/>
    <x v="4"/>
    <x v="1"/>
    <x v="2"/>
    <x v="1"/>
  </r>
  <r>
    <x v="67"/>
    <x v="22"/>
    <x v="0"/>
    <x v="2"/>
    <x v="0"/>
    <x v="19"/>
    <x v="10"/>
    <x v="8"/>
    <x v="1"/>
    <x v="1"/>
    <x v="6"/>
    <x v="2"/>
    <x v="0"/>
    <x v="9"/>
    <x v="13"/>
    <x v="30"/>
    <x v="1"/>
    <x v="1"/>
    <x v="0"/>
    <x v="2"/>
    <x v="1"/>
    <x v="2"/>
    <x v="1"/>
  </r>
  <r>
    <x v="68"/>
    <x v="66"/>
    <x v="14"/>
    <x v="2"/>
    <x v="0"/>
    <x v="4"/>
    <x v="10"/>
    <x v="8"/>
    <x v="3"/>
    <x v="2"/>
    <x v="10"/>
    <x v="0"/>
    <x v="8"/>
    <x v="21"/>
    <x v="13"/>
    <x v="9"/>
    <x v="2"/>
    <x v="1"/>
    <x v="1"/>
    <x v="4"/>
    <x v="0"/>
    <x v="2"/>
    <x v="1"/>
  </r>
  <r>
    <x v="69"/>
    <x v="62"/>
    <x v="14"/>
    <x v="2"/>
    <x v="0"/>
    <x v="3"/>
    <x v="10"/>
    <x v="8"/>
    <x v="1"/>
    <x v="3"/>
    <x v="2"/>
    <x v="2"/>
    <x v="21"/>
    <x v="23"/>
    <x v="13"/>
    <x v="26"/>
    <x v="2"/>
    <x v="1"/>
    <x v="0"/>
    <x v="3"/>
    <x v="1"/>
    <x v="2"/>
    <x v="1"/>
  </r>
  <r>
    <x v="70"/>
    <x v="21"/>
    <x v="14"/>
    <x v="2"/>
    <x v="0"/>
    <x v="3"/>
    <x v="10"/>
    <x v="8"/>
    <x v="3"/>
    <x v="0"/>
    <x v="11"/>
    <x v="1"/>
    <x v="64"/>
    <x v="19"/>
    <x v="13"/>
    <x v="30"/>
    <x v="0"/>
    <x v="1"/>
    <x v="0"/>
    <x v="1"/>
    <x v="2"/>
    <x v="2"/>
    <x v="1"/>
  </r>
  <r>
    <x v="71"/>
    <x v="87"/>
    <x v="14"/>
    <x v="2"/>
    <x v="0"/>
    <x v="3"/>
    <x v="10"/>
    <x v="8"/>
    <x v="3"/>
    <x v="0"/>
    <x v="11"/>
    <x v="1"/>
    <x v="64"/>
    <x v="22"/>
    <x v="13"/>
    <x v="30"/>
    <x v="0"/>
    <x v="1"/>
    <x v="0"/>
    <x v="1"/>
    <x v="2"/>
    <x v="2"/>
    <x v="1"/>
  </r>
  <r>
    <x v="72"/>
    <x v="61"/>
    <x v="14"/>
    <x v="2"/>
    <x v="0"/>
    <x v="2"/>
    <x v="10"/>
    <x v="8"/>
    <x v="3"/>
    <x v="0"/>
    <x v="11"/>
    <x v="1"/>
    <x v="64"/>
    <x v="20"/>
    <x v="13"/>
    <x v="30"/>
    <x v="0"/>
    <x v="1"/>
    <x v="0"/>
    <x v="1"/>
    <x v="2"/>
    <x v="2"/>
    <x v="1"/>
  </r>
  <r>
    <x v="73"/>
    <x v="51"/>
    <x v="2"/>
    <x v="2"/>
    <x v="0"/>
    <x v="30"/>
    <x v="10"/>
    <x v="8"/>
    <x v="3"/>
    <x v="0"/>
    <x v="11"/>
    <x v="1"/>
    <x v="49"/>
    <x v="41"/>
    <x v="13"/>
    <x v="30"/>
    <x v="0"/>
    <x v="1"/>
    <x v="0"/>
    <x v="1"/>
    <x v="2"/>
    <x v="2"/>
    <x v="1"/>
  </r>
  <r>
    <x v="74"/>
    <x v="93"/>
    <x v="14"/>
    <x v="2"/>
    <x v="0"/>
    <x v="36"/>
    <x v="10"/>
    <x v="8"/>
    <x v="3"/>
    <x v="0"/>
    <x v="11"/>
    <x v="1"/>
    <x v="49"/>
    <x v="50"/>
    <x v="13"/>
    <x v="30"/>
    <x v="0"/>
    <x v="1"/>
    <x v="0"/>
    <x v="1"/>
    <x v="2"/>
    <x v="2"/>
    <x v="1"/>
  </r>
  <r>
    <x v="75"/>
    <x v="19"/>
    <x v="14"/>
    <x v="2"/>
    <x v="0"/>
    <x v="38"/>
    <x v="10"/>
    <x v="8"/>
    <x v="2"/>
    <x v="0"/>
    <x v="11"/>
    <x v="1"/>
    <x v="49"/>
    <x v="47"/>
    <x v="13"/>
    <x v="30"/>
    <x v="0"/>
    <x v="1"/>
    <x v="0"/>
    <x v="1"/>
    <x v="2"/>
    <x v="2"/>
    <x v="1"/>
  </r>
  <r>
    <x v="76"/>
    <x v="74"/>
    <x v="14"/>
    <x v="2"/>
    <x v="0"/>
    <x v="29"/>
    <x v="1"/>
    <x v="1"/>
    <x v="2"/>
    <x v="0"/>
    <x v="11"/>
    <x v="1"/>
    <x v="9"/>
    <x v="36"/>
    <x v="13"/>
    <x v="30"/>
    <x v="0"/>
    <x v="2"/>
    <x v="0"/>
    <x v="2"/>
    <x v="1"/>
    <x v="2"/>
    <x v="1"/>
  </r>
  <r>
    <x v="77"/>
    <x v="2"/>
    <x v="14"/>
    <x v="2"/>
    <x v="0"/>
    <x v="31"/>
    <x v="1"/>
    <x v="1"/>
    <x v="3"/>
    <x v="0"/>
    <x v="11"/>
    <x v="1"/>
    <x v="49"/>
    <x v="56"/>
    <x v="13"/>
    <x v="30"/>
    <x v="0"/>
    <x v="2"/>
    <x v="0"/>
    <x v="2"/>
    <x v="1"/>
    <x v="2"/>
    <x v="1"/>
  </r>
  <r>
    <x v="78"/>
    <x v="85"/>
    <x v="0"/>
    <x v="2"/>
    <x v="0"/>
    <x v="18"/>
    <x v="1"/>
    <x v="1"/>
    <x v="1"/>
    <x v="0"/>
    <x v="11"/>
    <x v="1"/>
    <x v="52"/>
    <x v="64"/>
    <x v="13"/>
    <x v="30"/>
    <x v="0"/>
    <x v="2"/>
    <x v="0"/>
    <x v="2"/>
    <x v="1"/>
    <x v="2"/>
    <x v="1"/>
  </r>
  <r>
    <x v="79"/>
    <x v="13"/>
    <x v="0"/>
    <x v="2"/>
    <x v="0"/>
    <x v="18"/>
    <x v="1"/>
    <x v="1"/>
    <x v="2"/>
    <x v="0"/>
    <x v="11"/>
    <x v="1"/>
    <x v="49"/>
    <x v="45"/>
    <x v="13"/>
    <x v="30"/>
    <x v="0"/>
    <x v="2"/>
    <x v="0"/>
    <x v="2"/>
    <x v="1"/>
    <x v="2"/>
    <x v="1"/>
  </r>
  <r>
    <x v="80"/>
    <x v="60"/>
    <x v="11"/>
    <x v="2"/>
    <x v="0"/>
    <x v="23"/>
    <x v="6"/>
    <x v="4"/>
    <x v="3"/>
    <x v="0"/>
    <x v="11"/>
    <x v="1"/>
    <x v="50"/>
    <x v="68"/>
    <x v="3"/>
    <x v="30"/>
    <x v="0"/>
    <x v="2"/>
    <x v="0"/>
    <x v="2"/>
    <x v="1"/>
    <x v="2"/>
    <x v="1"/>
  </r>
  <r>
    <x v="81"/>
    <x v="69"/>
    <x v="11"/>
    <x v="2"/>
    <x v="0"/>
    <x v="23"/>
    <x v="6"/>
    <x v="4"/>
    <x v="2"/>
    <x v="0"/>
    <x v="11"/>
    <x v="1"/>
    <x v="49"/>
    <x v="59"/>
    <x v="13"/>
    <x v="30"/>
    <x v="0"/>
    <x v="2"/>
    <x v="0"/>
    <x v="2"/>
    <x v="1"/>
    <x v="2"/>
    <x v="1"/>
  </r>
  <r>
    <x v="82"/>
    <x v="71"/>
    <x v="11"/>
    <x v="2"/>
    <x v="0"/>
    <x v="24"/>
    <x v="6"/>
    <x v="4"/>
    <x v="1"/>
    <x v="0"/>
    <x v="11"/>
    <x v="1"/>
    <x v="49"/>
    <x v="70"/>
    <x v="13"/>
    <x v="30"/>
    <x v="0"/>
    <x v="2"/>
    <x v="0"/>
    <x v="2"/>
    <x v="1"/>
    <x v="2"/>
    <x v="1"/>
  </r>
  <r>
    <x v="83"/>
    <x v="30"/>
    <x v="11"/>
    <x v="2"/>
    <x v="0"/>
    <x v="21"/>
    <x v="6"/>
    <x v="4"/>
    <x v="1"/>
    <x v="0"/>
    <x v="11"/>
    <x v="1"/>
    <x v="49"/>
    <x v="65"/>
    <x v="13"/>
    <x v="30"/>
    <x v="0"/>
    <x v="2"/>
    <x v="0"/>
    <x v="2"/>
    <x v="1"/>
    <x v="2"/>
    <x v="1"/>
  </r>
  <r>
    <x v="84"/>
    <x v="52"/>
    <x v="15"/>
    <x v="2"/>
    <x v="0"/>
    <x v="0"/>
    <x v="7"/>
    <x v="5"/>
    <x v="1"/>
    <x v="0"/>
    <x v="11"/>
    <x v="1"/>
    <x v="53"/>
    <x v="49"/>
    <x v="6"/>
    <x v="30"/>
    <x v="0"/>
    <x v="1"/>
    <x v="1"/>
    <x v="2"/>
    <x v="1"/>
    <x v="2"/>
    <x v="1"/>
  </r>
  <r>
    <x v="85"/>
    <x v="88"/>
    <x v="15"/>
    <x v="2"/>
    <x v="0"/>
    <x v="0"/>
    <x v="7"/>
    <x v="5"/>
    <x v="0"/>
    <x v="0"/>
    <x v="11"/>
    <x v="1"/>
    <x v="55"/>
    <x v="73"/>
    <x v="2"/>
    <x v="30"/>
    <x v="0"/>
    <x v="1"/>
    <x v="0"/>
    <x v="1"/>
    <x v="2"/>
    <x v="2"/>
    <x v="1"/>
  </r>
  <r>
    <x v="86"/>
    <x v="42"/>
    <x v="15"/>
    <x v="2"/>
    <x v="0"/>
    <x v="0"/>
    <x v="7"/>
    <x v="5"/>
    <x v="1"/>
    <x v="0"/>
    <x v="11"/>
    <x v="1"/>
    <x v="58"/>
    <x v="43"/>
    <x v="4"/>
    <x v="30"/>
    <x v="0"/>
    <x v="1"/>
    <x v="0"/>
    <x v="1"/>
    <x v="2"/>
    <x v="2"/>
    <x v="1"/>
  </r>
  <r>
    <x v="87"/>
    <x v="94"/>
    <x v="15"/>
    <x v="2"/>
    <x v="0"/>
    <x v="0"/>
    <x v="7"/>
    <x v="5"/>
    <x v="2"/>
    <x v="0"/>
    <x v="11"/>
    <x v="1"/>
    <x v="57"/>
    <x v="40"/>
    <x v="0"/>
    <x v="30"/>
    <x v="0"/>
    <x v="1"/>
    <x v="0"/>
    <x v="1"/>
    <x v="2"/>
    <x v="2"/>
    <x v="1"/>
  </r>
  <r>
    <x v="88"/>
    <x v="38"/>
    <x v="15"/>
    <x v="2"/>
    <x v="0"/>
    <x v="0"/>
    <x v="7"/>
    <x v="5"/>
    <x v="2"/>
    <x v="0"/>
    <x v="11"/>
    <x v="1"/>
    <x v="49"/>
    <x v="48"/>
    <x v="13"/>
    <x v="30"/>
    <x v="0"/>
    <x v="1"/>
    <x v="0"/>
    <x v="1"/>
    <x v="2"/>
    <x v="2"/>
    <x v="1"/>
  </r>
  <r>
    <x v="89"/>
    <x v="41"/>
    <x v="12"/>
    <x v="2"/>
    <x v="1"/>
    <x v="43"/>
    <x v="1"/>
    <x v="1"/>
    <x v="1"/>
    <x v="0"/>
    <x v="11"/>
    <x v="1"/>
    <x v="51"/>
    <x v="75"/>
    <x v="4"/>
    <x v="30"/>
    <x v="0"/>
    <x v="2"/>
    <x v="0"/>
    <x v="2"/>
    <x v="1"/>
    <x v="2"/>
    <x v="1"/>
  </r>
  <r>
    <x v="90"/>
    <x v="73"/>
    <x v="12"/>
    <x v="2"/>
    <x v="1"/>
    <x v="43"/>
    <x v="1"/>
    <x v="1"/>
    <x v="1"/>
    <x v="0"/>
    <x v="11"/>
    <x v="1"/>
    <x v="56"/>
    <x v="67"/>
    <x v="13"/>
    <x v="30"/>
    <x v="0"/>
    <x v="2"/>
    <x v="0"/>
    <x v="2"/>
    <x v="1"/>
    <x v="2"/>
    <x v="1"/>
  </r>
  <r>
    <x v="91"/>
    <x v="46"/>
    <x v="12"/>
    <x v="2"/>
    <x v="1"/>
    <x v="43"/>
    <x v="1"/>
    <x v="1"/>
    <x v="1"/>
    <x v="0"/>
    <x v="11"/>
    <x v="1"/>
    <x v="60"/>
    <x v="66"/>
    <x v="13"/>
    <x v="30"/>
    <x v="0"/>
    <x v="2"/>
    <x v="0"/>
    <x v="2"/>
    <x v="1"/>
    <x v="2"/>
    <x v="1"/>
  </r>
  <r>
    <x v="92"/>
    <x v="32"/>
    <x v="12"/>
    <x v="2"/>
    <x v="1"/>
    <x v="43"/>
    <x v="1"/>
    <x v="1"/>
    <x v="3"/>
    <x v="0"/>
    <x v="11"/>
    <x v="1"/>
    <x v="49"/>
    <x v="37"/>
    <x v="13"/>
    <x v="30"/>
    <x v="0"/>
    <x v="2"/>
    <x v="0"/>
    <x v="2"/>
    <x v="1"/>
    <x v="2"/>
    <x v="1"/>
  </r>
  <r>
    <x v="93"/>
    <x v="65"/>
    <x v="13"/>
    <x v="2"/>
    <x v="1"/>
    <x v="43"/>
    <x v="1"/>
    <x v="1"/>
    <x v="3"/>
    <x v="0"/>
    <x v="11"/>
    <x v="1"/>
    <x v="49"/>
    <x v="71"/>
    <x v="13"/>
    <x v="30"/>
    <x v="0"/>
    <x v="2"/>
    <x v="0"/>
    <x v="2"/>
    <x v="1"/>
    <x v="2"/>
    <x v="1"/>
  </r>
  <r>
    <x v="94"/>
    <x v="59"/>
    <x v="10"/>
    <x v="2"/>
    <x v="1"/>
    <x v="43"/>
    <x v="1"/>
    <x v="1"/>
    <x v="3"/>
    <x v="0"/>
    <x v="11"/>
    <x v="1"/>
    <x v="49"/>
    <x v="74"/>
    <x v="13"/>
    <x v="30"/>
    <x v="0"/>
    <x v="2"/>
    <x v="0"/>
    <x v="2"/>
    <x v="1"/>
    <x v="2"/>
    <x v="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TD1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6:H24" firstHeaderRow="1" firstDataRow="2" firstDataCol="2"/>
  <pivotFields count="23">
    <pivotField compact="0" showAll="0"/>
    <pivotField dataField="1" compact="0" showAll="0"/>
    <pivotField axis="axisRow" compact="0" showAll="0" defaultSubtota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compact="0" showAll="0"/>
    <pivotField axis="axisRow" compact="0" showAll="0" defaultSubtotal="0">
      <items count="2">
        <item x="0"/>
        <item x="1"/>
      </items>
    </pivotField>
    <pivotField compact="0" showAll="0"/>
    <pivotField compact="0" showAll="0"/>
    <pivotField compact="0" showAll="0"/>
    <pivotField compact="0" showAll="0"/>
    <pivotField axis="axisCol" compact="0" showAll="0" defaultSubtotal="0">
      <items count="5">
        <item x="0"/>
        <item x="1"/>
        <item x="2"/>
        <item x="3"/>
        <item x="4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4"/>
    <field x="2"/>
  </rowFields>
  <colFields count="1">
    <field x="9"/>
  </colFields>
  <dataFields count="1">
    <dataField name="Count - Empresa" fld="1" subtotal="count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D2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7:G18" firstHeaderRow="1" firstDataRow="2" firstDataCol="1" rowPageCount="1" colPageCount="1"/>
  <pivotFields count="23">
    <pivotField compact="0" showAll="0"/>
    <pivotField dataField="1" compact="0" showAll="0"/>
    <pivotField compact="0" showAll="0"/>
    <pivotField compact="0" showAll="0"/>
    <pivotField axis="axisPage" compact="0" showAll="0" defaultSubtotal="0">
      <items count="2">
        <item x="0"/>
        <item x="1"/>
      </items>
    </pivotField>
    <pivotField compact="0" showAll="0"/>
    <pivotField compact="0" showAll="0"/>
    <pivotField axis="axisRow" compact="0"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compact="0" showAll="0"/>
    <pivotField axis="axisCol" compact="0" showAll="0" defaultSubtotal="0">
      <items count="5">
        <item x="0"/>
        <item x="1"/>
        <item x="2"/>
        <item x="3"/>
        <item x="4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7"/>
  </rowFields>
  <colFields count="1">
    <field x="9"/>
  </colFields>
  <pageFields count="1">
    <pageField fld="4" hier="-1"/>
  </pageFields>
  <dataFields count="1">
    <dataField name="Count - Empresa" fld="1" subtotal="count" numFmtId="16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TD3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7:F13" firstHeaderRow="1" firstDataRow="2" firstDataCol="1" rowPageCount="1" colPageCount="1"/>
  <pivotFields count="23">
    <pivotField compact="0" showAll="0"/>
    <pivotField dataField="1" compact="0" showAll="0"/>
    <pivotField compact="0" showAll="0"/>
    <pivotField compact="0" showAll="0"/>
    <pivotField axis="axisPage" compact="0" showAll="0" defaultSubtotal="0">
      <items count="2">
        <item x="0"/>
        <item x="1"/>
      </items>
    </pivotField>
    <pivotField compact="0" showAll="0"/>
    <pivotField compact="0" showAll="0"/>
    <pivotField compact="0" showAll="0"/>
    <pivotField axis="axisRow" compact="0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 defaultSubtotal="0">
      <items count="4">
        <item x="0"/>
        <item x="1"/>
        <item x="2"/>
        <item x="3"/>
      </items>
    </pivotField>
    <pivotField compact="0" showAll="0"/>
    <pivotField compact="0" showAll="0"/>
  </pivotFields>
  <rowFields count="1">
    <field x="8"/>
  </rowFields>
  <colFields count="1">
    <field x="20"/>
  </colFields>
  <pageFields count="1">
    <pageField fld="4" hier="-1"/>
  </pageFields>
  <dataFields count="1">
    <dataField name="Count - Empresa" fld="1" subtotal="count" numFmtId="164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TD4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7:D12" firstHeaderRow="1" firstDataRow="2" firstDataCol="1" rowPageCount="1" colPageCount="1"/>
  <pivotFields count="23">
    <pivotField compact="0" showAll="0"/>
    <pivotField dataField="1" compact="0" showAll="0"/>
    <pivotField compact="0" showAll="0"/>
    <pivotField compact="0" showAll="0"/>
    <pivotField axis="axisCol" compact="0" showAll="0" defaultSubtotal="0">
      <items count="2">
        <item x="0"/>
        <item x="1"/>
      </items>
    </pivotField>
    <pivotField compact="0" showAll="0"/>
    <pivotField compact="0" showAll="0"/>
    <pivotField axis="axisPage" compact="0"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compact="0" showAll="0"/>
    <pivotField compact="0" showAll="0"/>
    <pivotField compact="0" showAll="0"/>
    <pivotField axis="axisRow" compact="0" showAll="0" defaultSubtotal="0">
      <items count="3">
        <item x="0"/>
        <item x="1"/>
        <item x="2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1"/>
  </rowFields>
  <colFields count="1">
    <field x="4"/>
  </colFields>
  <pageFields count="1">
    <pageField fld="7" hier="-1"/>
  </pageFields>
  <dataFields count="1">
    <dataField name="Count - Empresa" fld="1" subtotal="count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manta.com/c/mmn1h0x/jonel-knitting-mills-inc" TargetMode="External"/><Relationship Id="rId2" Type="http://schemas.openxmlformats.org/officeDocument/2006/relationships/hyperlink" Target="https://www.manta.com/c/mmcwr0p/steel-works-rebar-fabricators-llc" TargetMode="External"/><Relationship Id="rId3" Type="http://schemas.openxmlformats.org/officeDocument/2006/relationships/hyperlink" Target="https://www.yellowpages.com/medley-fl/mip/all-welding-and-machine-shop-inc-474064250" TargetMode="External"/><Relationship Id="rId4" Type="http://schemas.openxmlformats.org/officeDocument/2006/relationships/hyperlink" Target="https://search.sunbiz.org/Inquiry/CorporationSearch/ByName" TargetMode="External"/><Relationship Id="rId5" Type="http://schemas.openxmlformats.org/officeDocument/2006/relationships/hyperlink" Target="https://www.bbb.org/us/fl/homestead/profile/paving-contractors/florida-paving-trucking-inc-0633-5003759" TargetMode="External"/><Relationship Id="rId6" Type="http://schemas.openxmlformats.org/officeDocument/2006/relationships/hyperlink" Target="https://www.manta.com/c/mm2vydb/marante-forwarding-co-inc" TargetMode="External"/><Relationship Id="rId7" Type="http://schemas.openxmlformats.org/officeDocument/2006/relationships/hyperlink" Target="http://www.truckbrokeragebynational.com/" TargetMode="External"/><Relationship Id="rId8" Type="http://schemas.openxmlformats.org/officeDocument/2006/relationships/hyperlink" Target="https://www.constructgroupcorp.com/" TargetMode="External"/><Relationship Id="rId9" Type="http://schemas.openxmlformats.org/officeDocument/2006/relationships/hyperlink" Target="https://www.buildzoom.com/contractor/professional-plumbing-corp" TargetMode="External"/><Relationship Id="rId10" Type="http://schemas.openxmlformats.org/officeDocument/2006/relationships/hyperlink" Target="https://www.manta.com/c/mhx9tn8/aa-florida-pallets-inc" TargetMode="External"/><Relationship Id="rId11" Type="http://schemas.openxmlformats.org/officeDocument/2006/relationships/hyperlink" Target="https://www.carriersource.io/carriers/high-quality-trucking-inc" TargetMode="External"/><Relationship Id="rId12" Type="http://schemas.openxmlformats.org/officeDocument/2006/relationships/hyperlink" Target="https://www.facebook.com/hialeahbakery/" TargetMode="External"/><Relationship Id="rId13" Type="http://schemas.openxmlformats.org/officeDocument/2006/relationships/hyperlink" Target="https://www.yelp.com/biz/los-tres-conejitos-bakery-hialeah" TargetMode="External"/><Relationship Id="rId14" Type="http://schemas.openxmlformats.org/officeDocument/2006/relationships/hyperlink" Target="https://www.yelp.com/biz/tango-body-shop-hialeah" TargetMode="External"/><Relationship Id="rId15" Type="http://schemas.openxmlformats.org/officeDocument/2006/relationships/hyperlink" Target="https://www.bbb.org/us/fl/hialeah/profile/auto-body-repair-and-painting/procollision-center-llc-0633-90024812" TargetMode="External"/><Relationship Id="rId16" Type="http://schemas.openxmlformats.org/officeDocument/2006/relationships/hyperlink" Target="https://www.manta.com/c/mm43fmb/sari-express-forwarders-inc" TargetMode="External"/><Relationship Id="rId17" Type="http://schemas.openxmlformats.org/officeDocument/2006/relationships/hyperlink" Target="https://www.manta.com/mb_55_B52DB05K_33S/freight_forwarding/hialeah_fl" TargetMode="External"/><Relationship Id="rId18" Type="http://schemas.openxmlformats.org/officeDocument/2006/relationships/hyperlink" Target="https://local.yahoo.com/info-211983306-marante-distributors-corp-hialeah/" TargetMode="External"/><Relationship Id="rId19" Type="http://schemas.openxmlformats.org/officeDocument/2006/relationships/hyperlink" Target="https://www.yelp.com/biz/medina-and-son-plumbing-supply-hialeah" TargetMode="External"/><Relationship Id="rId20" Type="http://schemas.openxmlformats.org/officeDocument/2006/relationships/hyperlink" Target="https://www.manta.com/c/mmf1sbc/manny-s-plumbing-service" TargetMode="External"/><Relationship Id="rId21" Type="http://schemas.openxmlformats.org/officeDocument/2006/relationships/hyperlink" Target="https://www.bbb.org/us/fl/hialeah/profile/impact-windows/all-star-aluminum-windows-doors-inc-0633-90034252" TargetMode="External"/><Relationship Id="rId22" Type="http://schemas.openxmlformats.org/officeDocument/2006/relationships/hyperlink" Target="https://www.manta.com/c/mtqlxt4/panther-co-inc" TargetMode="External"/><Relationship Id="rId23" Type="http://schemas.openxmlformats.org/officeDocument/2006/relationships/hyperlink" Target="https://www.yellowpages.com/medley-fl/medley-steel-and-supply-inc" TargetMode="External"/><Relationship Id="rId24" Type="http://schemas.openxmlformats.org/officeDocument/2006/relationships/hyperlink" Target="https://www.facebook.com/amigopallets/" TargetMode="External"/><Relationship Id="rId25" Type="http://schemas.openxmlformats.org/officeDocument/2006/relationships/hyperlink" Target="https://www.dnb.com/business-directory/company-profiles.medley_machine_shop_inc.b0232bd608d5d99948dd3a3504105627.html" TargetMode="External"/><Relationship Id="rId26" Type="http://schemas.openxmlformats.org/officeDocument/2006/relationships/hyperlink" Target="https://www.yelp.com/biz/pablos-machine-shop-and-welding-corp-medley" TargetMode="External"/><Relationship Id="rId27" Type="http://schemas.openxmlformats.org/officeDocument/2006/relationships/hyperlink" Target="https://www.manta.com/c/mm4dqwp/gondia-machine-shop" TargetMode="External"/><Relationship Id="rId28" Type="http://schemas.openxmlformats.org/officeDocument/2006/relationships/hyperlink" Target="https://www.manta.com/c/mhcrbf8/super-diesel-truck-repair-inc" TargetMode="External"/><Relationship Id="rId29" Type="http://schemas.openxmlformats.org/officeDocument/2006/relationships/hyperlink" Target="https://www.yelp.com/biz/larosa-diesel-mechanical-medley" TargetMode="External"/><Relationship Id="rId30" Type="http://schemas.openxmlformats.org/officeDocument/2006/relationships/hyperlink" Target="https://www.yelp.com/biz/cyma-truck-repair-medley" TargetMode="External"/><Relationship Id="rId31" Type="http://schemas.openxmlformats.org/officeDocument/2006/relationships/hyperlink" Target="https://www.manta.com/c/mm21vw1/international-cruise-food-hotel-suppliers-inc" TargetMode="External"/><Relationship Id="rId32" Type="http://schemas.openxmlformats.org/officeDocument/2006/relationships/hyperlink" Target="https://www.allsteelproducts.com/index.html" TargetMode="External"/><Relationship Id="rId33" Type="http://schemas.openxmlformats.org/officeDocument/2006/relationships/hyperlink" Target="https://buildingrenewable.com/12-best-precast-concrete-construction-companies-in-florida/" TargetMode="External"/><Relationship Id="rId34" Type="http://schemas.openxmlformats.org/officeDocument/2006/relationships/hyperlink" Target="https://www.manta.com/c/mm33hkb/doral-freight-logistics-inc" TargetMode="External"/><Relationship Id="rId35" Type="http://schemas.openxmlformats.org/officeDocument/2006/relationships/hyperlink" Target="https://www.manta.com/c/mmgmgjl/senaduana-freight-forwarders-inc" TargetMode="External"/><Relationship Id="rId36" Type="http://schemas.openxmlformats.org/officeDocument/2006/relationships/hyperlink" Target="https://www.manta.com/c/mhks6tw/conavenca-freight-forwarder-llc" TargetMode="External"/><Relationship Id="rId37" Type="http://schemas.openxmlformats.org/officeDocument/2006/relationships/hyperlink" Target="https://www.manta.com/c/mbg66v7/tmc-import-export-co" TargetMode="External"/><Relationship Id="rId38" Type="http://schemas.openxmlformats.org/officeDocument/2006/relationships/hyperlink" Target="https://www.bizapedia.com/fl/barahonas-food-distributor-llc.html" TargetMode="External"/><Relationship Id="rId39" Type="http://schemas.openxmlformats.org/officeDocument/2006/relationships/hyperlink" Target="https://www.bizapedia.com/fl/loman-distributors-inc.html" TargetMode="External"/><Relationship Id="rId40" Type="http://schemas.openxmlformats.org/officeDocument/2006/relationships/hyperlink" Target="https://www.facebook.com/kkdentaldoral/" TargetMode="External"/><Relationship Id="rId41" Type="http://schemas.openxmlformats.org/officeDocument/2006/relationships/hyperlink" Target="https://www.facebook.com/doralfamilydentalfl/" TargetMode="External"/><Relationship Id="rId42" Type="http://schemas.openxmlformats.org/officeDocument/2006/relationships/hyperlink" Target="https://www.bbb.org/us/fl/miami/profile/organic-food/brothers-produce-inc-0633-90067698" TargetMode="External"/><Relationship Id="rId43" Type="http://schemas.openxmlformats.org/officeDocument/2006/relationships/hyperlink" Target="https://www.yelp.com/biz/4-u-unlimited-miami" TargetMode="External"/><Relationship Id="rId44" Type="http://schemas.openxmlformats.org/officeDocument/2006/relationships/hyperlink" Target="https://excellentfruitandproduce.com/about-us/" TargetMode="External"/><Relationship Id="rId45" Type="http://schemas.openxmlformats.org/officeDocument/2006/relationships/hyperlink" Target="https://www.yelp.com/biz/martinez-distributors-miami-2" TargetMode="External"/><Relationship Id="rId46" Type="http://schemas.openxmlformats.org/officeDocument/2006/relationships/hyperlink" Target="https://www.facebook.com/reydelasfritas/" TargetMode="External"/><Relationship Id="rId47" Type="http://schemas.openxmlformats.org/officeDocument/2006/relationships/hyperlink" Target="https://www.neighborhoods.com/blog/cuban-restaurants-in-little-havana-you-cant-miss" TargetMode="External"/><Relationship Id="rId48" Type="http://schemas.openxmlformats.org/officeDocument/2006/relationships/hyperlink" Target="https://www.bbb.org/us/fl/miami/profile/heating-and-air-conditioning/kendale-air-conditioning-0633-23009691" TargetMode="External"/><Relationship Id="rId49" Type="http://schemas.openxmlformats.org/officeDocument/2006/relationships/hyperlink" Target="https://doctor.webmd.com/practice/kendall-south-medical-center-inc-422a0a48-1a37-46b1-973c-95ba062d11e3" TargetMode="External"/><Relationship Id="rId50" Type="http://schemas.openxmlformats.org/officeDocument/2006/relationships/hyperlink" Target="https://doctor.webmd.com/practice/kendall-medical-center-inc-773643c8-4703-e211-a42b-001f29e3eb44-physicians/alpha/all" TargetMode="External"/><Relationship Id="rId51" Type="http://schemas.openxmlformats.org/officeDocument/2006/relationships/hyperlink" Target="https://www.bbb.org/us/fl/homestead/profile/auto-repair/krome-auto-tire-svc-0633-90269976" TargetMode="External"/><Relationship Id="rId52" Type="http://schemas.openxmlformats.org/officeDocument/2006/relationships/hyperlink" Target="https://www.facebook.com/rplantsinc/" TargetMode="External"/><Relationship Id="rId53" Type="http://schemas.openxmlformats.org/officeDocument/2006/relationships/hyperlink" Target="https://www.manta.com/c/mvvd9cj/liner-growers-nursery" TargetMode="External"/><Relationship Id="rId54" Type="http://schemas.openxmlformats.org/officeDocument/2006/relationships/hyperlink" Target="https://www.manta.com/mb_55_B80C105M_345/nursery_stock/homestead_fl" TargetMode="External"/><Relationship Id="rId55" Type="http://schemas.openxmlformats.org/officeDocument/2006/relationships/hyperlink" Target="https://www.manta.com/mb_55_B80C105M_345/nursery_stock/homestead_fl" TargetMode="External"/><Relationship Id="rId56" Type="http://schemas.openxmlformats.org/officeDocument/2006/relationships/hyperlink" Target="https://www.manta.com/mb_55_B80C105M_345/nursery_stock/homestead_fl" TargetMode="External"/><Relationship Id="rId57" Type="http://schemas.openxmlformats.org/officeDocument/2006/relationships/hyperlink" Target="https://ediblesouthflorida.ediblecommunities.com/eat/fresh-demand-local-produce-longtime-homestead-farm/" TargetMode="External"/><Relationship Id="rId58" Type="http://schemas.openxmlformats.org/officeDocument/2006/relationships/hyperlink" Target="https://www.yelp.com/biz/sudsies-dry-cleaners-miami-beach" TargetMode="External"/><Relationship Id="rId59" Type="http://schemas.openxmlformats.org/officeDocument/2006/relationships/hyperlink" Target="https://www.yelp.com/biz/complete-yacht-service-fort-lauderdale" TargetMode="External"/><Relationship Id="rId60" Type="http://schemas.openxmlformats.org/officeDocument/2006/relationships/hyperlink" Target="https://www.bbb.org/us/fl/ft-lauderdale/profile/boat-repair/superior-stainless-yacht-repair-0633-11011513" TargetMode="External"/><Relationship Id="rId61" Type="http://schemas.openxmlformats.org/officeDocument/2006/relationships/hyperlink" Target="https://www.bbb.org/us/fl/fort-lauderdale/profile/boat-repair/top-quality-yachts-refinishing-refurbishing-0633-4006026" TargetMode="External"/><Relationship Id="rId62" Type="http://schemas.openxmlformats.org/officeDocument/2006/relationships/hyperlink" Target="https://www.manta.com/c/mmn3jvb/complete-yacht-care-inc" TargetMode="External"/><Relationship Id="rId63" Type="http://schemas.openxmlformats.org/officeDocument/2006/relationships/hyperlink" Target="https://www.bbb.org/us/fl/fort-lauderdale/profile/boat-repair/ship-side-service-0633-22003092" TargetMode="External"/><Relationship Id="rId64" Type="http://schemas.openxmlformats.org/officeDocument/2006/relationships/hyperlink" Target="https://www.yelp.com/biz/shoreline-marine-pompano-beach" TargetMode="External"/><Relationship Id="rId65" Type="http://schemas.openxmlformats.org/officeDocument/2006/relationships/hyperlink" Target="https://www.yelp.com/biz/yacht-mechanics-of-florida-fort-lauderdale" TargetMode="External"/><Relationship Id="rId66" Type="http://schemas.openxmlformats.org/officeDocument/2006/relationships/hyperlink" Target="https://www.manta.com/c/mb5d3rb/land-sea-air-conditioning-of" TargetMode="External"/><Relationship Id="rId67" Type="http://schemas.openxmlformats.org/officeDocument/2006/relationships/hyperlink" Target="https://www.manta.com/c/mmym5vw/million-air-conditioning-corporation" TargetMode="External"/><Relationship Id="rId68" Type="http://schemas.openxmlformats.org/officeDocument/2006/relationships/hyperlink" Target="https://www.bbb.org/us/fl/davie/profile/major-appliance-services/first-class-air-conditioning-appliance-inc-0633-90137525" TargetMode="External"/><Relationship Id="rId69" Type="http://schemas.openxmlformats.org/officeDocument/2006/relationships/hyperlink" Target="https://www.bbb.org/us/fl/pompano-beach/profile/auto-repair/pompano-beach-texaco-0633-35000319" TargetMode="External"/><Relationship Id="rId70" Type="http://schemas.openxmlformats.org/officeDocument/2006/relationships/hyperlink" Target="https://www.bbb.org/us/fl/pompano-beach/profile/mobile-auto-repair/our-shop-auto-repairs-inc-0633-90426905" TargetMode="External"/><Relationship Id="rId71" Type="http://schemas.openxmlformats.org/officeDocument/2006/relationships/hyperlink" Target="https://www.bbb.org/us/fl/pompano-beach/profile/auto-repair/fast-lane-auto-repairs-0633-90409985" TargetMode="External"/><Relationship Id="rId72" Type="http://schemas.openxmlformats.org/officeDocument/2006/relationships/hyperlink" Target="https://www.bbb.org/us/fl/pompano-beach/profile/auto-repair/the-auto-spot-0633-90092971" TargetMode="External"/><Relationship Id="rId73" Type="http://schemas.openxmlformats.org/officeDocument/2006/relationships/hyperlink" Target="https://www.bbb.org/us/fl/pompano-beach/profile/auto-repair/original-look-0633-90132733" TargetMode="External"/><Relationship Id="rId74" Type="http://schemas.openxmlformats.org/officeDocument/2006/relationships/hyperlink" Target="https://www.manta.com/c/mh1g76d/marina-road-boat-yard" TargetMode="External"/><Relationship Id="rId75" Type="http://schemas.openxmlformats.org/officeDocument/2006/relationships/hyperlink" Target="https://www.manta.com/c/mm0jvj4/yachting-bliss" TargetMode="External"/><Relationship Id="rId76" Type="http://schemas.openxmlformats.org/officeDocument/2006/relationships/hyperlink" Target="https://www.manta.com/c/mkhwx2k/elite-yachting-solutions-llc" TargetMode="External"/><Relationship Id="rId77" Type="http://schemas.openxmlformats.org/officeDocument/2006/relationships/hyperlink" Target="https://www.manta.com/c/m1xl2v5/s-a-marine-services-llc" TargetMode="External"/><Relationship Id="rId78" Type="http://schemas.openxmlformats.org/officeDocument/2006/relationships/hyperlink" Target="https://www.manta.com/c/mm7f0xx/all-power-marine-boat-lifts-docks" TargetMode="External"/><Relationship Id="rId79" Type="http://schemas.openxmlformats.org/officeDocument/2006/relationships/hyperlink" Target="https://www.manta.com/c/mr4tgvc/t-d-air-conditioning-inc" TargetMode="External"/><Relationship Id="rId80" Type="http://schemas.openxmlformats.org/officeDocument/2006/relationships/hyperlink" Target="https://www.manta.com/c/mhw02tp/cv-ac-expert-llc" TargetMode="External"/><Relationship Id="rId81" Type="http://schemas.openxmlformats.org/officeDocument/2006/relationships/hyperlink" Target="https://www.manta.com/c/mtq3wsd/ocean-freight-link" TargetMode="External"/><Relationship Id="rId82" Type="http://schemas.openxmlformats.org/officeDocument/2006/relationships/hyperlink" Target="https://www.manta.com/c/mmfvqs5/promptus-llc" TargetMode="External"/><Relationship Id="rId83" Type="http://schemas.openxmlformats.org/officeDocument/2006/relationships/hyperlink" Target="https://www.manta.com/c/mtry58n/r-k-a-xpress-inc" TargetMode="External"/><Relationship Id="rId84" Type="http://schemas.openxmlformats.org/officeDocument/2006/relationships/hyperlink" Target="https://www.manta.com/c/mt4210t/j-j-freight-brokerage-inc" TargetMode="External"/><Relationship Id="rId85" Type="http://schemas.openxmlformats.org/officeDocument/2006/relationships/hyperlink" Target="https://www.manta.com/c/mm08mz3/markon-realty-and-management-inc" TargetMode="External"/><Relationship Id="rId86" Type="http://schemas.openxmlformats.org/officeDocument/2006/relationships/hyperlink" Target="https://www.manta.com/c/mw2lslb/three-js-management-corporation" TargetMode="External"/><Relationship Id="rId87" Type="http://schemas.openxmlformats.org/officeDocument/2006/relationships/hyperlink" Target="https://www.manta.com/c/mhkhbr0/lindsay-taylor-property-management-inc" TargetMode="External"/><Relationship Id="rId88" Type="http://schemas.openxmlformats.org/officeDocument/2006/relationships/hyperlink" Target="https://www.manta.com/c/mbybsr5/ymp-real-estate-management-llc" TargetMode="External"/><Relationship Id="rId89" Type="http://schemas.openxmlformats.org/officeDocument/2006/relationships/hyperlink" Target="https://www.manta.com/c/mkxpthn/kryterion-property-services-llc" TargetMode="External"/><Relationship Id="rId90" Type="http://schemas.openxmlformats.org/officeDocument/2006/relationships/hyperlink" Target="https://www.manta.com/d/mm2thx3/lasseter-plumbing-company-inc" TargetMode="External"/><Relationship Id="rId91" Type="http://schemas.openxmlformats.org/officeDocument/2006/relationships/hyperlink" Target="https://www.manta.com/c/mtbtgz9/rocco-plumbing-inc" TargetMode="External"/><Relationship Id="rId92" Type="http://schemas.openxmlformats.org/officeDocument/2006/relationships/hyperlink" Target="https://www.manta.com/c/mt4fd3r/malu-plumbing-inc" TargetMode="External"/><Relationship Id="rId93" Type="http://schemas.openxmlformats.org/officeDocument/2006/relationships/hyperlink" Target="https://www.manta.com/c/mb04c42/just-plumbing" TargetMode="External"/><Relationship Id="rId94" Type="http://schemas.openxmlformats.org/officeDocument/2006/relationships/hyperlink" Target="https://www.manta.com/c/mttg4zn/plumbing-experts" TargetMode="External"/><Relationship Id="rId95" Type="http://schemas.openxmlformats.org/officeDocument/2006/relationships/hyperlink" Target="https://www.manta.com/c/mx0vyzw/new-england-plumbing" TargetMode="External"/><Relationship Id="rId96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pivotTable" Target="../pivotTables/pivot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pivotTable" Target="../pivotTables/pivotTable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www.census.gov/quickfacts/fact/table/miamicityflorida/PST045224" TargetMode="External"/><Relationship Id="rId2" Type="http://schemas.openxmlformats.org/officeDocument/2006/relationships/hyperlink" Target="https://datausa.io/profile/geo/hialeah-fl/" TargetMode="External"/><Relationship Id="rId3" Type="http://schemas.openxmlformats.org/officeDocument/2006/relationships/hyperlink" Target="https://www.census.gov/quickfacts/fact/table/doralcityflorida/PST045225" TargetMode="External"/><Relationship Id="rId4" Type="http://schemas.openxmlformats.org/officeDocument/2006/relationships/hyperlink" Target="https://www.townofmedley.com/about-us" TargetMode="External"/><Relationship Id="rId5" Type="http://schemas.openxmlformats.org/officeDocument/2006/relationships/hyperlink" Target="https://census.gov/quickfacts/fact/table/miamibeachcityflorida/POP060210" TargetMode="External"/><Relationship Id="rId6" Type="http://schemas.openxmlformats.org/officeDocument/2006/relationships/hyperlink" Target="https://www.census.gov/quickfacts/fact/table/coralgablescityflorida/PST045224" TargetMode="External"/><Relationship Id="rId7" Type="http://schemas.openxmlformats.org/officeDocument/2006/relationships/hyperlink" Target="https://en.wikipedia.org/wiki/Kendall,_Florida" TargetMode="External"/><Relationship Id="rId8" Type="http://schemas.openxmlformats.org/officeDocument/2006/relationships/hyperlink" Target="https://www.census.gov/quickfacts/fact/table/miamigardenscityflorida/POP060210" TargetMode="External"/><Relationship Id="rId9" Type="http://schemas.openxmlformats.org/officeDocument/2006/relationships/hyperlink" Target="https://census.gov/quickfacts/fact/table/homesteadcityflorida/PST120223" TargetMode="External"/><Relationship Id="rId10" Type="http://schemas.openxmlformats.org/officeDocument/2006/relationships/hyperlink" Target="https://www.census.gov/quickfacts/fact/table/fortlauderdalecityflorida/PST045225" TargetMode="External"/><Relationship Id="rId11" Type="http://schemas.openxmlformats.org/officeDocument/2006/relationships/hyperlink" Target="https://www.census.gov/quickfacts/fact/table/hollywoodcityflorida/PST045222" TargetMode="External"/><Relationship Id="rId12" Type="http://schemas.openxmlformats.org/officeDocument/2006/relationships/hyperlink" Target="https://www.census.gov/quickfacts/fact/table/pembrokepinescityflorida/SBO010222" TargetMode="External"/><Relationship Id="rId13" Type="http://schemas.openxmlformats.org/officeDocument/2006/relationships/hyperlink" Target="https://www.census.gov/quickfacts/fact/table/sunrisecityflorida/PST045222" TargetMode="External"/><Relationship Id="rId14" Type="http://schemas.openxmlformats.org/officeDocument/2006/relationships/hyperlink" Target="https://www.census.gov/quickfacts/fact/table/plantationcityflorida/PST045225" TargetMode="External"/><Relationship Id="rId15" Type="http://schemas.openxmlformats.org/officeDocument/2006/relationships/hyperlink" Target="https://www.miamidadematters.org/indicators/index/view?indicatorId=6371&amp;localeId=414" TargetMode="External"/><Relationship Id="rId16" Type="http://schemas.openxmlformats.org/officeDocument/2006/relationships/hyperlink" Target="https://www.census.gov/quickfacts/fact/table/browardcountyflorida/PST045224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s://clutch.co/press-releases/smb-websites-2025" TargetMode="External"/><Relationship Id="rId2" Type="http://schemas.openxmlformats.org/officeDocument/2006/relationships/hyperlink" Target="https://www.prnewswire.com/news-releases/27-of-small-businesses-still-dont-have-a-website-in-2022-301542302.html" TargetMode="External"/><Relationship Id="rId3" Type="http://schemas.openxmlformats.org/officeDocument/2006/relationships/hyperlink" Target="https://clutch.co/press-releases/smb-websites-2025" TargetMode="External"/><Relationship Id="rId4" Type="http://schemas.openxmlformats.org/officeDocument/2006/relationships/hyperlink" Target="https://localiq.com/blog/small-business-marketing-trends-report-2026/" TargetMode="External"/><Relationship Id="rId5" Type="http://schemas.openxmlformats.org/officeDocument/2006/relationships/hyperlink" Target="https://localiq.com/blog/small-business-marketing-trends-report-2026/" TargetMode="External"/><Relationship Id="rId6" Type="http://schemas.openxmlformats.org/officeDocument/2006/relationships/hyperlink" Target="https://www.uschamber.com/technology/artificial-intelligence/u-s-chambers-latest-empowering-small-business-report-shows-majority-of-businesses-in-all-50-states-are-embracing-ai" TargetMode="External"/><Relationship Id="rId7" Type="http://schemas.openxmlformats.org/officeDocument/2006/relationships/hyperlink" Target="https://www.businessobserverfl.com/news/2025/may/19/florida-new-business-formations/" TargetMode="External"/><Relationship Id="rId8" Type="http://schemas.openxmlformats.org/officeDocument/2006/relationships/hyperlink" Target="https://www.businessobserverfl.com/news/2025/may/19/florida-new-business-formations/" TargetMode="External"/><Relationship Id="rId9" Type="http://schemas.openxmlformats.org/officeDocument/2006/relationships/hyperlink" Target="https://www.businessobserverfl.com/news/2025/may/19/florida-new-business-formations/" TargetMode="External"/><Relationship Id="rId10" Type="http://schemas.openxmlformats.org/officeDocument/2006/relationships/hyperlink" Target="https://advocacy.sba.gov/wp-content/uploads/2025/06/Florida_2025-State-Profile.pdf" TargetMode="External"/><Relationship Id="rId11" Type="http://schemas.openxmlformats.org/officeDocument/2006/relationships/hyperlink" Target="https://dos.fl.gov/sunbiz/" TargetMode="External"/><Relationship Id="rId12" Type="http://schemas.openxmlformats.org/officeDocument/2006/relationships/hyperlink" Target="https://dos.fl.gov/sunbiz/about-us/yearly-statistics/" TargetMode="External"/><Relationship Id="rId13" Type="http://schemas.openxmlformats.org/officeDocument/2006/relationships/hyperlink" Target="https://www.adatitleiii.com/2026/02/ada-title-iii-federal-lawsuit-filings-fall-slightly-to-8667-in-2025/" TargetMode="External"/><Relationship Id="rId14" Type="http://schemas.openxmlformats.org/officeDocument/2006/relationships/hyperlink" Target="https://blog.usablenet.com/ada-web-lawsuit-trends-2026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s://www.wordstream.com/blog/2025-google-ads-benchmarks" TargetMode="External"/><Relationship Id="rId2" Type="http://schemas.openxmlformats.org/officeDocument/2006/relationships/hyperlink" Target="https://www.wordstream.com/blog/2026-google-ads-benchmarks" TargetMode="External"/><Relationship Id="rId3" Type="http://schemas.openxmlformats.org/officeDocument/2006/relationships/hyperlink" Target="https://www.wordstream.com/blog/2026-google-ads-benchmarks" TargetMode="External"/><Relationship Id="rId4" Type="http://schemas.openxmlformats.org/officeDocument/2006/relationships/hyperlink" Target="https://www.wordstream.com/blog/2025-google-ads-benchmarks" TargetMode="External"/><Relationship Id="rId5" Type="http://schemas.openxmlformats.org/officeDocument/2006/relationships/hyperlink" Target="https://localiq.com/blog/home-services-search-advertising-benchmarks/" TargetMode="External"/><Relationship Id="rId6" Type="http://schemas.openxmlformats.org/officeDocument/2006/relationships/hyperlink" Target="https://localiq.com/blog/home-services-search-advertising-benchmarks/" TargetMode="External"/><Relationship Id="rId7" Type="http://schemas.openxmlformats.org/officeDocument/2006/relationships/hyperlink" Target="https://localiq.com/blog/home-services-search-advertising-benchmarks/" TargetMode="External"/><Relationship Id="rId8" Type="http://schemas.openxmlformats.org/officeDocument/2006/relationships/hyperlink" Target="https://localiq.com/blog/home-services-search-advertising-benchmarks/" TargetMode="External"/><Relationship Id="rId9" Type="http://schemas.openxmlformats.org/officeDocument/2006/relationships/hyperlink" Target="https://www.wordstream.com/blog/2025-google-ads-benchmarks" TargetMode="External"/><Relationship Id="rId10" Type="http://schemas.openxmlformats.org/officeDocument/2006/relationships/hyperlink" Target="https://www.wordstream.com/blog/2025-google-ads-benchmarks" TargetMode="External"/><Relationship Id="rId11" Type="http://schemas.openxmlformats.org/officeDocument/2006/relationships/hyperlink" Target="https://www.wordstream.com/blog/2025-google-ads-benchmarks" TargetMode="External"/><Relationship Id="rId12" Type="http://schemas.openxmlformats.org/officeDocument/2006/relationships/hyperlink" Target="https://www.wordstream.com/blog/2025-google-ads-benchmarks" TargetMode="External"/><Relationship Id="rId13" Type="http://schemas.openxmlformats.org/officeDocument/2006/relationships/hyperlink" Target="https://ppcchief.com/google-ads-cost/dental/miami" TargetMode="External"/><Relationship Id="rId14" Type="http://schemas.openxmlformats.org/officeDocument/2006/relationships/hyperlink" Target="https://custom.legal/practice-areas/personal-injury-law-firm-marketing/cost-per-click-benchmarks-for-personal-injury/" TargetMode="External"/><Relationship Id="rId15" Type="http://schemas.openxmlformats.org/officeDocument/2006/relationships/hyperlink" Target="https://www.greatmarketing.ai/blog/spanish-speaking-personal-injury-lawyer-marketing" TargetMode="External"/><Relationship Id="rId16" Type="http://schemas.openxmlformats.org/officeDocument/2006/relationships/hyperlink" Target="https://tamer.marketing/blog/web-design-cost-miami/" TargetMode="External"/><Relationship Id="rId17" Type="http://schemas.openxmlformats.org/officeDocument/2006/relationships/hyperlink" Target="https://startupstarz.com/how-much-does-a-website-cost-for-a-small-business-in-miami-2026-pricing-guide/" TargetMode="External"/><Relationship Id="rId18" Type="http://schemas.openxmlformats.org/officeDocument/2006/relationships/hyperlink" Target="https://tamer.marketing/blog/seo-cost-miami/" TargetMode="External"/><Relationship Id="rId19" Type="http://schemas.openxmlformats.org/officeDocument/2006/relationships/hyperlink" Target="https://onceonceagency.com/social-media-management-cost-miami/" TargetMode="External"/><Relationship Id="rId20" Type="http://schemas.openxmlformats.org/officeDocument/2006/relationships/hyperlink" Target="https://www.2pointagency.com/glossary/pricing-for-ppc-management-services-in-miami/" TargetMode="External"/><Relationship Id="rId21" Type="http://schemas.openxmlformats.org/officeDocument/2006/relationships/hyperlink" Target="https://www.americaneagle.com/insights/blog/post/how-much-does-it-cost-to-advertise-on-google-ads-in-2025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s://dos.fl.gov/sunbiz/start-business/efile/fl-fictitious-name-registration/" TargetMode="External"/><Relationship Id="rId2" Type="http://schemas.openxmlformats.org/officeDocument/2006/relationships/hyperlink" Target="https://search.sunbiz.org/" TargetMode="External"/><Relationship Id="rId3" Type="http://schemas.openxmlformats.org/officeDocument/2006/relationships/hyperlink" Target="https://dos.fl.gov/sunbiz/manage-business/efile/annual-report/" TargetMode="External"/><Relationship Id="rId4" Type="http://schemas.openxmlformats.org/officeDocument/2006/relationships/hyperlink" Target="https://dos.fl.gov/sunbiz/search/" TargetMode="External"/><Relationship Id="rId5" Type="http://schemas.openxmlformats.org/officeDocument/2006/relationships/hyperlink" Target="https://dos.fl.gov/sunbiz/other-services/data-downloads/" TargetMode="External"/><Relationship Id="rId6" Type="http://schemas.openxmlformats.org/officeDocument/2006/relationships/hyperlink" Target="https://www2.myfloridalicense.com/services-requiring-a-dbpr-license/" TargetMode="External"/><Relationship Id="rId7" Type="http://schemas.openxmlformats.org/officeDocument/2006/relationships/hyperlink" Target="https://www.mdctaxcollector.gov/services/local-business-tax-receipt" TargetMode="External"/><Relationship Id="rId8" Type="http://schemas.openxmlformats.org/officeDocument/2006/relationships/hyperlink" Target="https://browardtax.org/business-tax-receipt/" TargetMode="External"/><Relationship Id="rId9" Type="http://schemas.openxmlformats.org/officeDocument/2006/relationships/hyperlink" Target="https://www.fortlauderdale.gov/Government/Departments/Community-Services/Business-Tax" TargetMode="External"/><Relationship Id="rId10" Type="http://schemas.openxmlformats.org/officeDocument/2006/relationships/hyperlink" Target="https://www.miamibeachfl.gov/city-hall/finance/business-tax-receipts-btr/" TargetMode="External"/><Relationship Id="rId11" Type="http://schemas.openxmlformats.org/officeDocument/2006/relationships/hyperlink" Target="https://www.townofmedley.com/local-business-tax-receipts" TargetMode="External"/><Relationship Id="rId12" Type="http://schemas.openxmlformats.org/officeDocument/2006/relationships/hyperlink" Target="https://www.flsenate.gov/Committees/BillSummaries/2023/html/761" TargetMode="External"/><Relationship Id="rId13" Type="http://schemas.openxmlformats.org/officeDocument/2006/relationships/hyperlink" Target="https://www.fdacs.gov/Consumer-Resources/Consumer-Rights-and-Responsibilities/Telemarketing" TargetMode="External"/><Relationship Id="rId14" Type="http://schemas.openxmlformats.org/officeDocument/2006/relationships/hyperlink" Target="https://www.fdacs.gov/Business-Services/Florida-Do-Not-Call" TargetMode="External"/><Relationship Id="rId15" Type="http://schemas.openxmlformats.org/officeDocument/2006/relationships/hyperlink" Target="https://www.ftc.gov/business-guidance/resources/can-spam-act-compliance-guide-business" TargetMode="External"/><Relationship Id="rId16" Type="http://schemas.openxmlformats.org/officeDocument/2006/relationships/hyperlink" Target="https://privacylawmap.com/states/florida" TargetMode="External"/><Relationship Id="rId17" Type="http://schemas.openxmlformats.org/officeDocument/2006/relationships/hyperlink" Target="https://www.adatitleiii.com/2026/02/ada-title-iii-federal-lawsuit-filings-fall-slightly-to-8667-in-2025/" TargetMode="External"/><Relationship Id="rId18" Type="http://schemas.openxmlformats.org/officeDocument/2006/relationships/hyperlink" Target="https://opendata.miamidade.gov/datasets/local-business-tax-view" TargetMode="External"/><Relationship Id="rId19" Type="http://schemas.openxmlformats.org/officeDocument/2006/relationships/hyperlink" Target="https://gis-mdc.opendata.arcgis.com/datasets/1952228619b0463cb6f9f7dc839bff88" TargetMode="External"/><Relationship Id="rId20" Type="http://schemas.openxmlformats.org/officeDocument/2006/relationships/hyperlink" Target="https://geohub-bcgis.opendata.arcgis.com/datasets/business-tax-records/about" TargetMode="External"/><Relationship Id="rId21" Type="http://schemas.openxmlformats.org/officeDocument/2006/relationships/hyperlink" Target="https://dos.fl.gov/sunbiz/other-services/data-downloads/" TargetMode="External"/><Relationship Id="rId22" Type="http://schemas.openxmlformats.org/officeDocument/2006/relationships/hyperlink" Target="https://www2.myfloridalicense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3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3"/>
    <col collapsed="false" customWidth="true" hidden="false" outlineLevel="0" max="7" min="7" style="0" width="26"/>
    <col collapsed="false" customWidth="true" hidden="false" outlineLevel="0" max="8" min="8" style="0" width="14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D4" s="3" t="s">
        <v>3</v>
      </c>
      <c r="G4" s="3" t="s">
        <v>4</v>
      </c>
    </row>
    <row r="5" customFormat="false" ht="17.35" hidden="false" customHeight="false" outlineLevel="0" collapsed="false">
      <c r="A5" s="4" t="s">
        <v>5</v>
      </c>
      <c r="B5" s="5" t="n">
        <f aca="false">COUNTA(Prospectos!B5:B99)</f>
        <v>95</v>
      </c>
      <c r="D5" s="6" t="s">
        <v>6</v>
      </c>
      <c r="E5" s="7" t="n">
        <f aca="false">COUNTIF(Prospectos!$E$5:$E$99,D5)</f>
        <v>64</v>
      </c>
      <c r="G5" s="6" t="s">
        <v>7</v>
      </c>
      <c r="H5" s="8" t="n">
        <v>98394</v>
      </c>
    </row>
    <row r="6" customFormat="false" ht="17.35" hidden="false" customHeight="false" outlineLevel="0" collapsed="false">
      <c r="A6" s="4" t="s">
        <v>8</v>
      </c>
      <c r="B6" s="5" t="n">
        <f aca="false">COUNTIF(Prospectos!$J$5:$J$99,"Sin sitio web")</f>
        <v>15</v>
      </c>
      <c r="D6" s="6" t="s">
        <v>9</v>
      </c>
      <c r="E6" s="7" t="n">
        <f aca="false">COUNTIF(Prospectos!$E$5:$E$99,D6)</f>
        <v>31</v>
      </c>
      <c r="G6" s="6" t="s">
        <v>10</v>
      </c>
      <c r="H6" s="8" t="n">
        <v>67274</v>
      </c>
    </row>
    <row r="7" customFormat="false" ht="17.35" hidden="false" customHeight="false" outlineLevel="0" collapsed="false">
      <c r="A7" s="4" t="s">
        <v>11</v>
      </c>
      <c r="B7" s="5" t="n">
        <f aca="false">COUNTIF(Prospectos!$J$5:$J$99,"Sitio obsoleto")+COUNTIF(Prospectos!$J$5:$J$99,"Presencia desordenada")</f>
        <v>11</v>
      </c>
      <c r="G7" s="6" t="s">
        <v>12</v>
      </c>
      <c r="H7" s="8" t="n">
        <v>634000</v>
      </c>
    </row>
    <row r="8" customFormat="false" ht="17.35" hidden="false" customHeight="false" outlineLevel="0" collapsed="false">
      <c r="A8" s="4" t="s">
        <v>13</v>
      </c>
      <c r="B8" s="9" t="n">
        <f aca="false">IF(B5=0,0,(B6+B7)/B5)</f>
        <v>0.273684210526316</v>
      </c>
      <c r="D8" s="6" t="s">
        <v>14</v>
      </c>
      <c r="E8" s="7" t="n">
        <f aca="false">COUNTIFS(Prospectos!$E$5:$E$99,"Miami-Dade",Prospectos!$J$5:$J$99,"Sin sitio web")+COUNTIFS(Prospectos!$E$5:$E$99,"Miami-Dade",Prospectos!$J$5:$J$99,"Sitio obsoleto")+COUNTIFS(Prospectos!$E$5:$E$99,"Miami-Dade",Prospectos!$J$5:$J$99,"Presencia desordenada")</f>
        <v>14</v>
      </c>
      <c r="G8" s="6" t="s">
        <v>15</v>
      </c>
      <c r="H8" s="10" t="n">
        <v>0.17</v>
      </c>
    </row>
    <row r="9" customFormat="false" ht="17.35" hidden="false" customHeight="false" outlineLevel="0" collapsed="false">
      <c r="A9" s="4" t="s">
        <v>16</v>
      </c>
      <c r="B9" s="5" t="n">
        <f aca="false">COUNTIF(Prospectos!$U$5:$U$99,"A")</f>
        <v>13</v>
      </c>
      <c r="D9" s="6" t="s">
        <v>17</v>
      </c>
      <c r="E9" s="7" t="n">
        <f aca="false">COUNTIFS(Prospectos!$E$5:$E$99,"Broward",Prospectos!$J$5:$J$99,"Sin sitio web")+COUNTIFS(Prospectos!$E$5:$E$99,"Broward",Prospectos!$J$5:$J$99,"Sitio obsoleto")+COUNTIFS(Prospectos!$E$5:$E$99,"Broward",Prospectos!$J$5:$J$99,"Presencia desordenada")</f>
        <v>12</v>
      </c>
      <c r="G9" s="6" t="s">
        <v>18</v>
      </c>
      <c r="H9" s="8" t="n">
        <v>1823</v>
      </c>
    </row>
    <row r="10" customFormat="false" ht="17.35" hidden="false" customHeight="false" outlineLevel="0" collapsed="false">
      <c r="A10" s="4" t="s">
        <v>19</v>
      </c>
      <c r="B10" s="5" t="n">
        <f aca="false">COUNTIF(Prospectos!$J$5:$J$99,"No verificado")</f>
        <v>50</v>
      </c>
      <c r="G10" s="6" t="s">
        <v>20</v>
      </c>
      <c r="H10" s="11" t="n">
        <v>5.26</v>
      </c>
    </row>
    <row r="13" customFormat="false" ht="15" hidden="false" customHeight="false" outlineLevel="0" collapsed="false">
      <c r="A13" s="3" t="s">
        <v>21</v>
      </c>
    </row>
    <row r="14" customFormat="false" ht="30" hidden="false" customHeight="true" outlineLevel="0" collapsed="false">
      <c r="A14" s="12" t="s">
        <v>22</v>
      </c>
      <c r="B14" s="12"/>
      <c r="C14" s="12"/>
      <c r="D14" s="12"/>
      <c r="E14" s="12"/>
      <c r="F14" s="12"/>
      <c r="G14" s="12"/>
      <c r="H14" s="12"/>
    </row>
    <row r="15" customFormat="false" ht="30" hidden="false" customHeight="true" outlineLevel="0" collapsed="false">
      <c r="A15" s="12" t="s">
        <v>23</v>
      </c>
      <c r="B15" s="12"/>
      <c r="C15" s="12"/>
      <c r="D15" s="12"/>
      <c r="E15" s="12"/>
      <c r="F15" s="12"/>
      <c r="G15" s="12"/>
      <c r="H15" s="12"/>
    </row>
    <row r="16" customFormat="false" ht="30" hidden="false" customHeight="true" outlineLevel="0" collapsed="false">
      <c r="A16" s="12" t="s">
        <v>24</v>
      </c>
      <c r="B16" s="12"/>
      <c r="C16" s="12"/>
      <c r="D16" s="12"/>
      <c r="E16" s="12"/>
      <c r="F16" s="12"/>
      <c r="G16" s="12"/>
      <c r="H16" s="12"/>
    </row>
    <row r="17" customFormat="false" ht="30" hidden="false" customHeight="true" outlineLevel="0" collapsed="false">
      <c r="A17" s="12" t="s">
        <v>25</v>
      </c>
      <c r="B17" s="12"/>
      <c r="C17" s="12"/>
      <c r="D17" s="12"/>
      <c r="E17" s="12"/>
      <c r="F17" s="12"/>
      <c r="G17" s="12"/>
      <c r="H17" s="12"/>
    </row>
    <row r="18" customFormat="false" ht="30" hidden="false" customHeight="true" outlineLevel="0" collapsed="false">
      <c r="A18" s="12" t="s">
        <v>26</v>
      </c>
      <c r="B18" s="12"/>
      <c r="C18" s="12"/>
      <c r="D18" s="12"/>
      <c r="E18" s="12"/>
      <c r="F18" s="12"/>
      <c r="G18" s="12"/>
      <c r="H18" s="12"/>
    </row>
    <row r="19" customFormat="false" ht="30" hidden="false" customHeight="true" outlineLevel="0" collapsed="false">
      <c r="A19" s="12" t="s">
        <v>27</v>
      </c>
      <c r="B19" s="12"/>
      <c r="C19" s="12"/>
      <c r="D19" s="12"/>
      <c r="E19" s="12"/>
      <c r="F19" s="12"/>
      <c r="G19" s="12"/>
      <c r="H19" s="12"/>
    </row>
    <row r="20" customFormat="false" ht="30" hidden="false" customHeight="true" outlineLevel="0" collapsed="false">
      <c r="A20" s="12" t="s">
        <v>28</v>
      </c>
      <c r="B20" s="12"/>
      <c r="C20" s="12"/>
      <c r="D20" s="12"/>
      <c r="E20" s="12"/>
      <c r="F20" s="12"/>
      <c r="G20" s="12"/>
      <c r="H20" s="12"/>
    </row>
    <row r="22" customFormat="false" ht="15" hidden="false" customHeight="false" outlineLevel="0" collapsed="false">
      <c r="A22" s="2" t="s">
        <v>29</v>
      </c>
    </row>
  </sheetData>
  <mergeCells count="7">
    <mergeCell ref="A14:H14"/>
    <mergeCell ref="A15:H15"/>
    <mergeCell ref="A16:H16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7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7" min="7" style="0" width="7"/>
    <col collapsed="false" customWidth="true" hidden="false" outlineLevel="0" max="8" min="8" style="0" width="30"/>
    <col collapsed="false" customWidth="true" hidden="false" outlineLevel="0" max="9" min="9" style="0" width="13"/>
    <col collapsed="false" customWidth="true" hidden="false" outlineLevel="0" max="10" min="10" style="0" width="20"/>
    <col collapsed="false" customWidth="true" hidden="false" outlineLevel="0" max="11" min="11" style="0" width="22"/>
    <col collapsed="false" customWidth="true" hidden="false" outlineLevel="0" max="12" min="12" style="0" width="11"/>
    <col collapsed="false" customWidth="true" hidden="false" outlineLevel="0" max="13" min="13" style="0" width="48"/>
    <col collapsed="false" customWidth="true" hidden="false" outlineLevel="0" max="14" min="14" style="0" width="40"/>
    <col collapsed="false" customWidth="true" hidden="false" outlineLevel="0" max="16" min="15" style="0" width="10"/>
    <col collapsed="false" customWidth="true" hidden="false" outlineLevel="0" max="20" min="17" style="0" width="8"/>
    <col collapsed="false" customWidth="true" hidden="false" outlineLevel="0" max="21" min="21" style="0" width="10"/>
    <col collapsed="false" customWidth="true" hidden="false" outlineLevel="0" max="22" min="22" style="0" width="13"/>
    <col collapsed="false" customWidth="true" hidden="false" outlineLevel="0" max="23" min="23" style="0" width="26"/>
  </cols>
  <sheetData>
    <row r="1" customFormat="false" ht="22.05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31</v>
      </c>
    </row>
    <row r="4" customFormat="false" ht="30" hidden="false" customHeight="true" outlineLevel="0" collapsed="false">
      <c r="A4" s="13" t="s">
        <v>32</v>
      </c>
      <c r="B4" s="13" t="s">
        <v>33</v>
      </c>
      <c r="C4" s="13" t="s">
        <v>34</v>
      </c>
      <c r="D4" s="13" t="s">
        <v>35</v>
      </c>
      <c r="E4" s="13" t="s">
        <v>36</v>
      </c>
      <c r="F4" s="13" t="s">
        <v>37</v>
      </c>
      <c r="G4" s="13" t="s">
        <v>38</v>
      </c>
      <c r="H4" s="13" t="s">
        <v>39</v>
      </c>
      <c r="I4" s="13" t="s">
        <v>40</v>
      </c>
      <c r="J4" s="13" t="s">
        <v>41</v>
      </c>
      <c r="K4" s="13" t="s">
        <v>42</v>
      </c>
      <c r="L4" s="13" t="s">
        <v>43</v>
      </c>
      <c r="M4" s="13" t="s">
        <v>44</v>
      </c>
      <c r="N4" s="13" t="s">
        <v>45</v>
      </c>
      <c r="O4" s="13" t="s">
        <v>46</v>
      </c>
      <c r="P4" s="13" t="s">
        <v>47</v>
      </c>
      <c r="Q4" s="13" t="s">
        <v>48</v>
      </c>
      <c r="R4" s="13" t="s">
        <v>49</v>
      </c>
      <c r="S4" s="13" t="s">
        <v>50</v>
      </c>
      <c r="T4" s="13" t="s">
        <v>51</v>
      </c>
      <c r="U4" s="13" t="s">
        <v>52</v>
      </c>
      <c r="V4" s="13" t="s">
        <v>53</v>
      </c>
      <c r="W4" s="13" t="s">
        <v>54</v>
      </c>
    </row>
    <row r="5" customFormat="false" ht="15" hidden="false" customHeight="false" outlineLevel="0" collapsed="false">
      <c r="A5" s="14" t="s">
        <v>55</v>
      </c>
      <c r="B5" s="14" t="s">
        <v>56</v>
      </c>
      <c r="C5" s="14" t="s">
        <v>57</v>
      </c>
      <c r="D5" s="14"/>
      <c r="E5" s="14" t="s">
        <v>6</v>
      </c>
      <c r="F5" s="14" t="s">
        <v>58</v>
      </c>
      <c r="G5" s="15" t="s">
        <v>59</v>
      </c>
      <c r="H5" s="14" t="s">
        <v>60</v>
      </c>
      <c r="I5" s="14" t="s">
        <v>61</v>
      </c>
      <c r="J5" s="14" t="s">
        <v>8</v>
      </c>
      <c r="K5" s="14" t="s">
        <v>62</v>
      </c>
      <c r="L5" s="15" t="s">
        <v>63</v>
      </c>
      <c r="M5" s="14" t="s">
        <v>64</v>
      </c>
      <c r="N5" s="16" t="s">
        <v>65</v>
      </c>
      <c r="O5" s="15" t="n">
        <v>25</v>
      </c>
      <c r="P5" s="15" t="n">
        <v>1987</v>
      </c>
      <c r="Q5" s="15" t="n">
        <f aca="false">IFERROR(VLOOKUP(J5,Parametros!$A$5:$B$9,2,FALSE()),0)</f>
        <v>3</v>
      </c>
      <c r="R5" s="15" t="n">
        <f aca="false">IFERROR(VLOOKUP(H5,Parametros!$D$5:$E$16,2,FALSE()),1)</f>
        <v>2</v>
      </c>
      <c r="S5" s="15" t="n">
        <f aca="false">IF(OR(N(O5)&gt;=Parametros!$H$9,AND(N(P5)&gt;0,N(P5)&lt;=Parametros!$H$10)),1,0)</f>
        <v>1</v>
      </c>
      <c r="T5" s="15" t="n">
        <f aca="false">Q5+R5+S5</f>
        <v>6</v>
      </c>
      <c r="U5" s="15" t="str">
        <f aca="false">IF(OR(V5="Inactive",V5="No encontrada"),"Descartada",IF(AND(T5&gt;=Parametros!$H$5,S5=1),"A",IF(T5&gt;=Parametros!$H$6,"B","C")))</f>
        <v>A</v>
      </c>
      <c r="V5" s="17" t="s">
        <v>66</v>
      </c>
      <c r="W5" s="17"/>
    </row>
    <row r="6" customFormat="false" ht="15" hidden="false" customHeight="false" outlineLevel="0" collapsed="false">
      <c r="A6" s="14" t="s">
        <v>67</v>
      </c>
      <c r="B6" s="14" t="s">
        <v>68</v>
      </c>
      <c r="C6" s="14" t="s">
        <v>69</v>
      </c>
      <c r="D6" s="14"/>
      <c r="E6" s="14" t="s">
        <v>6</v>
      </c>
      <c r="F6" s="14" t="s">
        <v>70</v>
      </c>
      <c r="G6" s="15" t="s">
        <v>71</v>
      </c>
      <c r="H6" s="14" t="s">
        <v>60</v>
      </c>
      <c r="I6" s="14" t="s">
        <v>72</v>
      </c>
      <c r="J6" s="14" t="s">
        <v>8</v>
      </c>
      <c r="K6" s="14" t="s">
        <v>73</v>
      </c>
      <c r="L6" s="15" t="s">
        <v>74</v>
      </c>
      <c r="M6" s="14" t="s">
        <v>75</v>
      </c>
      <c r="N6" s="16" t="s">
        <v>76</v>
      </c>
      <c r="O6" s="15" t="n">
        <v>10</v>
      </c>
      <c r="P6" s="15" t="n">
        <v>2007</v>
      </c>
      <c r="Q6" s="15" t="n">
        <f aca="false">IFERROR(VLOOKUP(J6,Parametros!$A$5:$B$9,2,FALSE()),0)</f>
        <v>3</v>
      </c>
      <c r="R6" s="15" t="n">
        <f aca="false">IFERROR(VLOOKUP(H6,Parametros!$D$5:$E$16,2,FALSE()),1)</f>
        <v>2</v>
      </c>
      <c r="S6" s="15" t="n">
        <f aca="false">IF(OR(N(O6)&gt;=Parametros!$H$9,AND(N(P6)&gt;0,N(P6)&lt;=Parametros!$H$10)),1,0)</f>
        <v>1</v>
      </c>
      <c r="T6" s="15" t="n">
        <f aca="false">Q6+R6+S6</f>
        <v>6</v>
      </c>
      <c r="U6" s="15" t="str">
        <f aca="false">IF(OR(V6="Inactive",V6="No encontrada"),"Descartada",IF(AND(T6&gt;=Parametros!$H$5,S6=1),"A",IF(T6&gt;=Parametros!$H$6,"B","C")))</f>
        <v>A</v>
      </c>
      <c r="V6" s="17" t="s">
        <v>66</v>
      </c>
      <c r="W6" s="17"/>
    </row>
    <row r="7" customFormat="false" ht="15" hidden="false" customHeight="false" outlineLevel="0" collapsed="false">
      <c r="A7" s="14" t="s">
        <v>77</v>
      </c>
      <c r="B7" s="14" t="s">
        <v>78</v>
      </c>
      <c r="C7" s="14" t="s">
        <v>69</v>
      </c>
      <c r="D7" s="14"/>
      <c r="E7" s="14" t="s">
        <v>6</v>
      </c>
      <c r="F7" s="14" t="s">
        <v>79</v>
      </c>
      <c r="G7" s="15" t="s">
        <v>71</v>
      </c>
      <c r="H7" s="14" t="s">
        <v>60</v>
      </c>
      <c r="I7" s="14" t="s">
        <v>61</v>
      </c>
      <c r="J7" s="14" t="s">
        <v>8</v>
      </c>
      <c r="K7" s="14" t="s">
        <v>62</v>
      </c>
      <c r="L7" s="15" t="s">
        <v>63</v>
      </c>
      <c r="M7" s="14" t="s">
        <v>80</v>
      </c>
      <c r="N7" s="16" t="s">
        <v>81</v>
      </c>
      <c r="O7" s="15"/>
      <c r="P7" s="15"/>
      <c r="Q7" s="15" t="n">
        <f aca="false">IFERROR(VLOOKUP(J7,Parametros!$A$5:$B$9,2,FALSE()),0)</f>
        <v>3</v>
      </c>
      <c r="R7" s="15" t="n">
        <f aca="false">IFERROR(VLOOKUP(H7,Parametros!$D$5:$E$16,2,FALSE()),1)</f>
        <v>2</v>
      </c>
      <c r="S7" s="15" t="n">
        <f aca="false">IF(OR(N(O7)&gt;=Parametros!$H$9,AND(N(P7)&gt;0,N(P7)&lt;=Parametros!$H$10)),1,0)</f>
        <v>0</v>
      </c>
      <c r="T7" s="15" t="n">
        <f aca="false">Q7+R7+S7</f>
        <v>5</v>
      </c>
      <c r="U7" s="15" t="str">
        <f aca="false">IF(OR(V7="Inactive",V7="No encontrada"),"Descartada",IF(AND(T7&gt;=Parametros!$H$5,S7=1),"A",IF(T7&gt;=Parametros!$H$6,"B","C")))</f>
        <v>B</v>
      </c>
      <c r="V7" s="17" t="s">
        <v>66</v>
      </c>
      <c r="W7" s="17"/>
    </row>
    <row r="8" customFormat="false" ht="23.85" hidden="false" customHeight="false" outlineLevel="0" collapsed="false">
      <c r="A8" s="14" t="s">
        <v>82</v>
      </c>
      <c r="B8" s="14" t="s">
        <v>83</v>
      </c>
      <c r="C8" s="14" t="s">
        <v>57</v>
      </c>
      <c r="D8" s="14"/>
      <c r="E8" s="14" t="s">
        <v>6</v>
      </c>
      <c r="F8" s="14" t="s">
        <v>84</v>
      </c>
      <c r="G8" s="15" t="s">
        <v>85</v>
      </c>
      <c r="H8" s="14" t="s">
        <v>86</v>
      </c>
      <c r="I8" s="14" t="s">
        <v>87</v>
      </c>
      <c r="J8" s="14" t="s">
        <v>8</v>
      </c>
      <c r="K8" s="14" t="s">
        <v>62</v>
      </c>
      <c r="L8" s="15" t="s">
        <v>63</v>
      </c>
      <c r="M8" s="14" t="s">
        <v>88</v>
      </c>
      <c r="N8" s="16" t="s">
        <v>89</v>
      </c>
      <c r="O8" s="15"/>
      <c r="P8" s="15" t="n">
        <v>1989</v>
      </c>
      <c r="Q8" s="15" t="n">
        <f aca="false">IFERROR(VLOOKUP(J8,Parametros!$A$5:$B$9,2,FALSE()),0)</f>
        <v>3</v>
      </c>
      <c r="R8" s="15" t="n">
        <f aca="false">IFERROR(VLOOKUP(H8,Parametros!$D$5:$E$16,2,FALSE()),1)</f>
        <v>2</v>
      </c>
      <c r="S8" s="15" t="n">
        <f aca="false">IF(OR(N(O8)&gt;=Parametros!$H$9,AND(N(P8)&gt;0,N(P8)&lt;=Parametros!$H$10)),1,0)</f>
        <v>1</v>
      </c>
      <c r="T8" s="15" t="n">
        <f aca="false">Q8+R8+S8</f>
        <v>6</v>
      </c>
      <c r="U8" s="15" t="str">
        <f aca="false">IF(OR(V8="Inactive",V8="No encontrada"),"Descartada",IF(AND(T8&gt;=Parametros!$H$5,S8=1),"A",IF(T8&gt;=Parametros!$H$6,"B","C")))</f>
        <v>A</v>
      </c>
      <c r="V8" s="17" t="s">
        <v>90</v>
      </c>
      <c r="W8" s="17"/>
    </row>
    <row r="9" customFormat="false" ht="15" hidden="false" customHeight="false" outlineLevel="0" collapsed="false">
      <c r="A9" s="14" t="s">
        <v>91</v>
      </c>
      <c r="B9" s="14" t="s">
        <v>92</v>
      </c>
      <c r="C9" s="14" t="s">
        <v>93</v>
      </c>
      <c r="D9" s="14"/>
      <c r="E9" s="14" t="s">
        <v>6</v>
      </c>
      <c r="F9" s="14" t="s">
        <v>94</v>
      </c>
      <c r="G9" s="15" t="s">
        <v>95</v>
      </c>
      <c r="H9" s="14" t="s">
        <v>96</v>
      </c>
      <c r="I9" s="14" t="s">
        <v>61</v>
      </c>
      <c r="J9" s="14" t="s">
        <v>8</v>
      </c>
      <c r="K9" s="14" t="s">
        <v>97</v>
      </c>
      <c r="L9" s="15" t="s">
        <v>74</v>
      </c>
      <c r="M9" s="14" t="s">
        <v>98</v>
      </c>
      <c r="N9" s="16" t="s">
        <v>99</v>
      </c>
      <c r="O9" s="15"/>
      <c r="P9" s="15" t="n">
        <v>1992</v>
      </c>
      <c r="Q9" s="15" t="n">
        <f aca="false">IFERROR(VLOOKUP(J9,Parametros!$A$5:$B$9,2,FALSE()),0)</f>
        <v>3</v>
      </c>
      <c r="R9" s="15" t="n">
        <f aca="false">IFERROR(VLOOKUP(H9,Parametros!$D$5:$E$16,2,FALSE()),1)</f>
        <v>3</v>
      </c>
      <c r="S9" s="15" t="n">
        <f aca="false">IF(OR(N(O9)&gt;=Parametros!$H$9,AND(N(P9)&gt;0,N(P9)&lt;=Parametros!$H$10)),1,0)</f>
        <v>1</v>
      </c>
      <c r="T9" s="15" t="n">
        <f aca="false">Q9+R9+S9</f>
        <v>7</v>
      </c>
      <c r="U9" s="15" t="str">
        <f aca="false">IF(OR(V9="Inactive",V9="No encontrada"),"Descartada",IF(AND(T9&gt;=Parametros!$H$5,S9=1),"A",IF(T9&gt;=Parametros!$H$6,"B","C")))</f>
        <v>A</v>
      </c>
      <c r="V9" s="17" t="s">
        <v>66</v>
      </c>
      <c r="W9" s="17"/>
    </row>
    <row r="10" customFormat="false" ht="23.85" hidden="false" customHeight="false" outlineLevel="0" collapsed="false">
      <c r="A10" s="14" t="s">
        <v>100</v>
      </c>
      <c r="B10" s="14" t="s">
        <v>101</v>
      </c>
      <c r="C10" s="14" t="s">
        <v>57</v>
      </c>
      <c r="D10" s="14"/>
      <c r="E10" s="14" t="s">
        <v>6</v>
      </c>
      <c r="F10" s="14" t="s">
        <v>102</v>
      </c>
      <c r="G10" s="15" t="s">
        <v>103</v>
      </c>
      <c r="H10" s="14" t="s">
        <v>104</v>
      </c>
      <c r="I10" s="14" t="s">
        <v>61</v>
      </c>
      <c r="J10" s="14" t="s">
        <v>8</v>
      </c>
      <c r="K10" s="14" t="s">
        <v>62</v>
      </c>
      <c r="L10" s="15" t="s">
        <v>63</v>
      </c>
      <c r="M10" s="14" t="s">
        <v>105</v>
      </c>
      <c r="N10" s="16" t="s">
        <v>106</v>
      </c>
      <c r="O10" s="15"/>
      <c r="P10" s="15" t="n">
        <v>1970</v>
      </c>
      <c r="Q10" s="15" t="n">
        <f aca="false">IFERROR(VLOOKUP(J10,Parametros!$A$5:$B$9,2,FALSE()),0)</f>
        <v>3</v>
      </c>
      <c r="R10" s="15" t="n">
        <f aca="false">IFERROR(VLOOKUP(H10,Parametros!$D$5:$E$16,2,FALSE()),1)</f>
        <v>3</v>
      </c>
      <c r="S10" s="15" t="n">
        <f aca="false">IF(OR(N(O10)&gt;=Parametros!$H$9,AND(N(P10)&gt;0,N(P10)&lt;=Parametros!$H$10)),1,0)</f>
        <v>1</v>
      </c>
      <c r="T10" s="15" t="n">
        <f aca="false">Q10+R10+S10</f>
        <v>7</v>
      </c>
      <c r="U10" s="15" t="str">
        <f aca="false">IF(OR(V10="Inactive",V10="No encontrada"),"Descartada",IF(AND(T10&gt;=Parametros!$H$5,S10=1),"A",IF(T10&gt;=Parametros!$H$6,"B","C")))</f>
        <v>A</v>
      </c>
      <c r="V10" s="17" t="s">
        <v>66</v>
      </c>
      <c r="W10" s="17" t="s">
        <v>107</v>
      </c>
    </row>
    <row r="11" customFormat="false" ht="23.85" hidden="false" customHeight="false" outlineLevel="0" collapsed="false">
      <c r="A11" s="14" t="s">
        <v>108</v>
      </c>
      <c r="B11" s="14" t="s">
        <v>109</v>
      </c>
      <c r="C11" s="14" t="s">
        <v>69</v>
      </c>
      <c r="D11" s="14"/>
      <c r="E11" s="14" t="s">
        <v>6</v>
      </c>
      <c r="F11" s="14" t="s">
        <v>110</v>
      </c>
      <c r="G11" s="15" t="s">
        <v>103</v>
      </c>
      <c r="H11" s="14" t="s">
        <v>104</v>
      </c>
      <c r="I11" s="14" t="s">
        <v>61</v>
      </c>
      <c r="J11" s="14" t="s">
        <v>111</v>
      </c>
      <c r="K11" s="14" t="s">
        <v>62</v>
      </c>
      <c r="L11" s="15" t="s">
        <v>63</v>
      </c>
      <c r="M11" s="14" t="s">
        <v>112</v>
      </c>
      <c r="N11" s="16" t="s">
        <v>113</v>
      </c>
      <c r="O11" s="15" t="n">
        <v>55</v>
      </c>
      <c r="P11" s="15" t="n">
        <v>1986</v>
      </c>
      <c r="Q11" s="15" t="n">
        <f aca="false">IFERROR(VLOOKUP(J11,Parametros!$A$5:$B$9,2,FALSE()),0)</f>
        <v>3</v>
      </c>
      <c r="R11" s="15" t="n">
        <f aca="false">IFERROR(VLOOKUP(H11,Parametros!$D$5:$E$16,2,FALSE()),1)</f>
        <v>3</v>
      </c>
      <c r="S11" s="15" t="n">
        <f aca="false">IF(OR(N(O11)&gt;=Parametros!$H$9,AND(N(P11)&gt;0,N(P11)&lt;=Parametros!$H$10)),1,0)</f>
        <v>1</v>
      </c>
      <c r="T11" s="15" t="n">
        <f aca="false">Q11+R11+S11</f>
        <v>7</v>
      </c>
      <c r="U11" s="15" t="str">
        <f aca="false">IF(OR(V11="Inactive",V11="No encontrada"),"Descartada",IF(AND(T11&gt;=Parametros!$H$5,S11=1),"A",IF(T11&gt;=Parametros!$H$6,"B","C")))</f>
        <v>A</v>
      </c>
      <c r="V11" s="17" t="s">
        <v>66</v>
      </c>
      <c r="W11" s="17"/>
    </row>
    <row r="12" customFormat="false" ht="23.85" hidden="false" customHeight="false" outlineLevel="0" collapsed="false">
      <c r="A12" s="14" t="s">
        <v>114</v>
      </c>
      <c r="B12" s="14" t="s">
        <v>115</v>
      </c>
      <c r="C12" s="14" t="s">
        <v>116</v>
      </c>
      <c r="D12" s="14"/>
      <c r="E12" s="14" t="s">
        <v>6</v>
      </c>
      <c r="F12" s="14" t="s">
        <v>117</v>
      </c>
      <c r="G12" s="15" t="s">
        <v>95</v>
      </c>
      <c r="H12" s="14" t="s">
        <v>96</v>
      </c>
      <c r="I12" s="14" t="s">
        <v>87</v>
      </c>
      <c r="J12" s="14" t="s">
        <v>111</v>
      </c>
      <c r="K12" s="14" t="s">
        <v>118</v>
      </c>
      <c r="L12" s="15" t="s">
        <v>74</v>
      </c>
      <c r="M12" s="14" t="s">
        <v>119</v>
      </c>
      <c r="N12" s="16" t="s">
        <v>120</v>
      </c>
      <c r="O12" s="15" t="n">
        <v>100</v>
      </c>
      <c r="P12" s="15" t="n">
        <v>2001</v>
      </c>
      <c r="Q12" s="15" t="n">
        <f aca="false">IFERROR(VLOOKUP(J12,Parametros!$A$5:$B$9,2,FALSE()),0)</f>
        <v>3</v>
      </c>
      <c r="R12" s="15" t="n">
        <f aca="false">IFERROR(VLOOKUP(H12,Parametros!$D$5:$E$16,2,FALSE()),1)</f>
        <v>3</v>
      </c>
      <c r="S12" s="15" t="n">
        <f aca="false">IF(OR(N(O12)&gt;=Parametros!$H$9,AND(N(P12)&gt;0,N(P12)&lt;=Parametros!$H$10)),1,0)</f>
        <v>1</v>
      </c>
      <c r="T12" s="15" t="n">
        <f aca="false">Q12+R12+S12</f>
        <v>7</v>
      </c>
      <c r="U12" s="15" t="str">
        <f aca="false">IF(OR(V12="Inactive",V12="No encontrada"),"Descartada",IF(AND(T12&gt;=Parametros!$H$5,S12=1),"A",IF(T12&gt;=Parametros!$H$6,"B","C")))</f>
        <v>A</v>
      </c>
      <c r="V12" s="17" t="s">
        <v>66</v>
      </c>
      <c r="W12" s="17"/>
    </row>
    <row r="13" customFormat="false" ht="15" hidden="false" customHeight="false" outlineLevel="0" collapsed="false">
      <c r="A13" s="14" t="s">
        <v>121</v>
      </c>
      <c r="B13" s="14" t="s">
        <v>122</v>
      </c>
      <c r="C13" s="14" t="s">
        <v>57</v>
      </c>
      <c r="D13" s="14"/>
      <c r="E13" s="14" t="s">
        <v>6</v>
      </c>
      <c r="F13" s="14" t="s">
        <v>123</v>
      </c>
      <c r="G13" s="15" t="s">
        <v>95</v>
      </c>
      <c r="H13" s="14" t="s">
        <v>96</v>
      </c>
      <c r="I13" s="14" t="s">
        <v>87</v>
      </c>
      <c r="J13" s="14" t="s">
        <v>111</v>
      </c>
      <c r="K13" s="14" t="s">
        <v>73</v>
      </c>
      <c r="L13" s="15" t="s">
        <v>74</v>
      </c>
      <c r="M13" s="14" t="s">
        <v>124</v>
      </c>
      <c r="N13" s="16" t="s">
        <v>125</v>
      </c>
      <c r="O13" s="15"/>
      <c r="P13" s="15" t="n">
        <v>1973</v>
      </c>
      <c r="Q13" s="15" t="n">
        <f aca="false">IFERROR(VLOOKUP(J13,Parametros!$A$5:$B$9,2,FALSE()),0)</f>
        <v>3</v>
      </c>
      <c r="R13" s="15" t="n">
        <f aca="false">IFERROR(VLOOKUP(H13,Parametros!$D$5:$E$16,2,FALSE()),1)</f>
        <v>3</v>
      </c>
      <c r="S13" s="15" t="n">
        <f aca="false">IF(OR(N(O13)&gt;=Parametros!$H$9,AND(N(P13)&gt;0,N(P13)&lt;=Parametros!$H$10)),1,0)</f>
        <v>1</v>
      </c>
      <c r="T13" s="15" t="n">
        <f aca="false">Q13+R13+S13</f>
        <v>7</v>
      </c>
      <c r="U13" s="15" t="str">
        <f aca="false">IF(OR(V13="Inactive",V13="No encontrada"),"Descartada",IF(AND(T13&gt;=Parametros!$H$5,S13=1),"A",IF(T13&gt;=Parametros!$H$6,"B","C")))</f>
        <v>A</v>
      </c>
      <c r="V13" s="17" t="s">
        <v>66</v>
      </c>
      <c r="W13" s="17"/>
    </row>
    <row r="14" customFormat="false" ht="15" hidden="false" customHeight="false" outlineLevel="0" collapsed="false">
      <c r="A14" s="14" t="s">
        <v>126</v>
      </c>
      <c r="B14" s="14" t="s">
        <v>127</v>
      </c>
      <c r="C14" s="14" t="s">
        <v>69</v>
      </c>
      <c r="D14" s="14"/>
      <c r="E14" s="14" t="s">
        <v>6</v>
      </c>
      <c r="F14" s="14" t="s">
        <v>128</v>
      </c>
      <c r="G14" s="15" t="s">
        <v>129</v>
      </c>
      <c r="H14" s="14" t="s">
        <v>60</v>
      </c>
      <c r="I14" s="14" t="s">
        <v>61</v>
      </c>
      <c r="J14" s="14" t="s">
        <v>111</v>
      </c>
      <c r="K14" s="14" t="s">
        <v>62</v>
      </c>
      <c r="L14" s="15" t="s">
        <v>63</v>
      </c>
      <c r="M14" s="14" t="s">
        <v>130</v>
      </c>
      <c r="N14" s="16" t="s">
        <v>131</v>
      </c>
      <c r="O14" s="15"/>
      <c r="P14" s="15"/>
      <c r="Q14" s="15" t="n">
        <f aca="false">IFERROR(VLOOKUP(J14,Parametros!$A$5:$B$9,2,FALSE()),0)</f>
        <v>3</v>
      </c>
      <c r="R14" s="15" t="n">
        <f aca="false">IFERROR(VLOOKUP(H14,Parametros!$D$5:$E$16,2,FALSE()),1)</f>
        <v>2</v>
      </c>
      <c r="S14" s="15" t="n">
        <f aca="false">IF(OR(N(O14)&gt;=Parametros!$H$9,AND(N(P14)&gt;0,N(P14)&lt;=Parametros!$H$10)),1,0)</f>
        <v>0</v>
      </c>
      <c r="T14" s="15" t="n">
        <f aca="false">Q14+R14+S14</f>
        <v>5</v>
      </c>
      <c r="U14" s="15" t="str">
        <f aca="false">IF(OR(V14="Inactive",V14="No encontrada"),"Descartada",IF(AND(T14&gt;=Parametros!$H$5,S14=1),"A",IF(T14&gt;=Parametros!$H$6,"B","C")))</f>
        <v>B</v>
      </c>
      <c r="V14" s="17" t="s">
        <v>66</v>
      </c>
      <c r="W14" s="17"/>
    </row>
    <row r="15" customFormat="false" ht="15" hidden="false" customHeight="false" outlineLevel="0" collapsed="false">
      <c r="A15" s="14" t="s">
        <v>132</v>
      </c>
      <c r="B15" s="14" t="s">
        <v>133</v>
      </c>
      <c r="C15" s="14" t="s">
        <v>69</v>
      </c>
      <c r="D15" s="14"/>
      <c r="E15" s="14" t="s">
        <v>6</v>
      </c>
      <c r="F15" s="14" t="s">
        <v>134</v>
      </c>
      <c r="G15" s="15" t="s">
        <v>103</v>
      </c>
      <c r="H15" s="14" t="s">
        <v>104</v>
      </c>
      <c r="I15" s="14" t="s">
        <v>61</v>
      </c>
      <c r="J15" s="14" t="s">
        <v>111</v>
      </c>
      <c r="K15" s="14" t="s">
        <v>62</v>
      </c>
      <c r="L15" s="15" t="s">
        <v>63</v>
      </c>
      <c r="M15" s="14" t="s">
        <v>135</v>
      </c>
      <c r="N15" s="16" t="s">
        <v>136</v>
      </c>
      <c r="O15" s="15" t="n">
        <v>66</v>
      </c>
      <c r="P15" s="15" t="n">
        <v>2006</v>
      </c>
      <c r="Q15" s="15" t="n">
        <f aca="false">IFERROR(VLOOKUP(J15,Parametros!$A$5:$B$9,2,FALSE()),0)</f>
        <v>3</v>
      </c>
      <c r="R15" s="15" t="n">
        <f aca="false">IFERROR(VLOOKUP(H15,Parametros!$D$5:$E$16,2,FALSE()),1)</f>
        <v>3</v>
      </c>
      <c r="S15" s="15" t="n">
        <f aca="false">IF(OR(N(O15)&gt;=Parametros!$H$9,AND(N(P15)&gt;0,N(P15)&lt;=Parametros!$H$10)),1,0)</f>
        <v>1</v>
      </c>
      <c r="T15" s="15" t="n">
        <f aca="false">Q15+R15+S15</f>
        <v>7</v>
      </c>
      <c r="U15" s="15" t="str">
        <f aca="false">IF(OR(V15="Inactive",V15="No encontrada"),"Descartada",IF(AND(T15&gt;=Parametros!$H$5,S15=1),"A",IF(T15&gt;=Parametros!$H$6,"B","C")))</f>
        <v>A</v>
      </c>
      <c r="V15" s="17" t="s">
        <v>66</v>
      </c>
      <c r="W15" s="17"/>
    </row>
    <row r="16" customFormat="false" ht="15" hidden="false" customHeight="false" outlineLevel="0" collapsed="false">
      <c r="A16" s="14" t="s">
        <v>137</v>
      </c>
      <c r="B16" s="14" t="s">
        <v>138</v>
      </c>
      <c r="C16" s="14" t="s">
        <v>57</v>
      </c>
      <c r="D16" s="14"/>
      <c r="E16" s="14" t="s">
        <v>6</v>
      </c>
      <c r="F16" s="14" t="s">
        <v>139</v>
      </c>
      <c r="G16" s="15" t="s">
        <v>59</v>
      </c>
      <c r="H16" s="14" t="s">
        <v>60</v>
      </c>
      <c r="I16" s="14" t="s">
        <v>61</v>
      </c>
      <c r="J16" s="14" t="s">
        <v>140</v>
      </c>
      <c r="K16" s="14" t="s">
        <v>73</v>
      </c>
      <c r="L16" s="15" t="s">
        <v>74</v>
      </c>
      <c r="M16" s="14" t="s">
        <v>141</v>
      </c>
      <c r="N16" s="16" t="s">
        <v>142</v>
      </c>
      <c r="O16" s="15"/>
      <c r="P16" s="15" t="n">
        <v>1996</v>
      </c>
      <c r="Q16" s="15" t="n">
        <f aca="false">IFERROR(VLOOKUP(J16,Parametros!$A$5:$B$9,2,FALSE()),0)</f>
        <v>1</v>
      </c>
      <c r="R16" s="15" t="n">
        <f aca="false">IFERROR(VLOOKUP(H16,Parametros!$D$5:$E$16,2,FALSE()),1)</f>
        <v>2</v>
      </c>
      <c r="S16" s="15" t="n">
        <f aca="false">IF(OR(N(O16)&gt;=Parametros!$H$9,AND(N(P16)&gt;0,N(P16)&lt;=Parametros!$H$10)),1,0)</f>
        <v>1</v>
      </c>
      <c r="T16" s="15" t="n">
        <f aca="false">Q16+R16+S16</f>
        <v>4</v>
      </c>
      <c r="U16" s="15" t="str">
        <f aca="false">IF(OR(V16="Inactive",V16="No encontrada"),"Descartada",IF(AND(T16&gt;=Parametros!$H$5,S16=1),"A",IF(T16&gt;=Parametros!$H$6,"B","C")))</f>
        <v>B</v>
      </c>
      <c r="V16" s="17" t="s">
        <v>66</v>
      </c>
      <c r="W16" s="17"/>
    </row>
    <row r="17" customFormat="false" ht="15" hidden="false" customHeight="false" outlineLevel="0" collapsed="false">
      <c r="A17" s="14" t="s">
        <v>143</v>
      </c>
      <c r="B17" s="14" t="s">
        <v>144</v>
      </c>
      <c r="C17" s="14" t="s">
        <v>57</v>
      </c>
      <c r="D17" s="14"/>
      <c r="E17" s="14" t="s">
        <v>6</v>
      </c>
      <c r="F17" s="14" t="s">
        <v>139</v>
      </c>
      <c r="G17" s="15" t="s">
        <v>59</v>
      </c>
      <c r="H17" s="14" t="s">
        <v>60</v>
      </c>
      <c r="I17" s="14" t="s">
        <v>145</v>
      </c>
      <c r="J17" s="14" t="s">
        <v>145</v>
      </c>
      <c r="K17" s="14" t="s">
        <v>118</v>
      </c>
      <c r="L17" s="15" t="s">
        <v>74</v>
      </c>
      <c r="M17" s="14" t="s">
        <v>146</v>
      </c>
      <c r="N17" s="16" t="s">
        <v>147</v>
      </c>
      <c r="O17" s="15"/>
      <c r="P17" s="15" t="n">
        <v>2001</v>
      </c>
      <c r="Q17" s="15" t="n">
        <f aca="false">IFERROR(VLOOKUP(J17,Parametros!$A$5:$B$9,2,FALSE()),0)</f>
        <v>1</v>
      </c>
      <c r="R17" s="15" t="n">
        <f aca="false">IFERROR(VLOOKUP(H17,Parametros!$D$5:$E$16,2,FALSE()),1)</f>
        <v>2</v>
      </c>
      <c r="S17" s="15" t="n">
        <f aca="false">IF(OR(N(O17)&gt;=Parametros!$H$9,AND(N(P17)&gt;0,N(P17)&lt;=Parametros!$H$10)),1,0)</f>
        <v>0</v>
      </c>
      <c r="T17" s="15" t="n">
        <f aca="false">Q17+R17+S17</f>
        <v>3</v>
      </c>
      <c r="U17" s="15" t="str">
        <f aca="false">IF(OR(V17="Inactive",V17="No encontrada"),"Descartada",IF(AND(T17&gt;=Parametros!$H$5,S17=1),"A",IF(T17&gt;=Parametros!$H$6,"B","C")))</f>
        <v>C</v>
      </c>
      <c r="V17" s="17" t="s">
        <v>66</v>
      </c>
      <c r="W17" s="17"/>
    </row>
    <row r="18" customFormat="false" ht="15" hidden="false" customHeight="false" outlineLevel="0" collapsed="false">
      <c r="A18" s="14" t="s">
        <v>148</v>
      </c>
      <c r="B18" s="14" t="s">
        <v>149</v>
      </c>
      <c r="C18" s="14" t="s">
        <v>57</v>
      </c>
      <c r="D18" s="14"/>
      <c r="E18" s="14" t="s">
        <v>6</v>
      </c>
      <c r="F18" s="14" t="s">
        <v>150</v>
      </c>
      <c r="G18" s="15" t="s">
        <v>151</v>
      </c>
      <c r="H18" s="14" t="s">
        <v>152</v>
      </c>
      <c r="I18" s="14" t="s">
        <v>145</v>
      </c>
      <c r="J18" s="14" t="s">
        <v>145</v>
      </c>
      <c r="K18" s="14" t="s">
        <v>118</v>
      </c>
      <c r="L18" s="15" t="s">
        <v>74</v>
      </c>
      <c r="M18" s="14" t="s">
        <v>153</v>
      </c>
      <c r="N18" s="16" t="s">
        <v>154</v>
      </c>
      <c r="O18" s="15"/>
      <c r="P18" s="15"/>
      <c r="Q18" s="15" t="n">
        <f aca="false">IFERROR(VLOOKUP(J18,Parametros!$A$5:$B$9,2,FALSE()),0)</f>
        <v>1</v>
      </c>
      <c r="R18" s="15" t="n">
        <f aca="false">IFERROR(VLOOKUP(H18,Parametros!$D$5:$E$16,2,FALSE()),1)</f>
        <v>2</v>
      </c>
      <c r="S18" s="15" t="n">
        <f aca="false">IF(OR(N(O18)&gt;=Parametros!$H$9,AND(N(P18)&gt;0,N(P18)&lt;=Parametros!$H$10)),1,0)</f>
        <v>0</v>
      </c>
      <c r="T18" s="15" t="n">
        <f aca="false">Q18+R18+S18</f>
        <v>3</v>
      </c>
      <c r="U18" s="15" t="str">
        <f aca="false">IF(OR(V18="Inactive",V18="No encontrada"),"Descartada",IF(AND(T18&gt;=Parametros!$H$5,S18=1),"A",IF(T18&gt;=Parametros!$H$6,"B","C")))</f>
        <v>C</v>
      </c>
      <c r="V18" s="17" t="s">
        <v>66</v>
      </c>
      <c r="W18" s="17"/>
    </row>
    <row r="19" customFormat="false" ht="15" hidden="false" customHeight="false" outlineLevel="0" collapsed="false">
      <c r="A19" s="14" t="s">
        <v>155</v>
      </c>
      <c r="B19" s="14" t="s">
        <v>156</v>
      </c>
      <c r="C19" s="14" t="s">
        <v>57</v>
      </c>
      <c r="D19" s="14"/>
      <c r="E19" s="14" t="s">
        <v>6</v>
      </c>
      <c r="F19" s="14" t="s">
        <v>150</v>
      </c>
      <c r="G19" s="15" t="s">
        <v>151</v>
      </c>
      <c r="H19" s="14" t="s">
        <v>152</v>
      </c>
      <c r="I19" s="14" t="s">
        <v>72</v>
      </c>
      <c r="J19" s="14" t="s">
        <v>157</v>
      </c>
      <c r="K19" s="14" t="s">
        <v>158</v>
      </c>
      <c r="L19" s="15" t="s">
        <v>74</v>
      </c>
      <c r="M19" s="14" t="s">
        <v>159</v>
      </c>
      <c r="N19" s="16" t="s">
        <v>160</v>
      </c>
      <c r="O19" s="15"/>
      <c r="P19" s="15" t="n">
        <v>2008</v>
      </c>
      <c r="Q19" s="15" t="n">
        <f aca="false">IFERROR(VLOOKUP(J19,Parametros!$A$5:$B$9,2,FALSE()),0)</f>
        <v>2</v>
      </c>
      <c r="R19" s="15" t="n">
        <f aca="false">IFERROR(VLOOKUP(H19,Parametros!$D$5:$E$16,2,FALSE()),1)</f>
        <v>2</v>
      </c>
      <c r="S19" s="15" t="n">
        <f aca="false">IF(OR(N(O19)&gt;=Parametros!$H$9,AND(N(P19)&gt;0,N(P19)&lt;=Parametros!$H$10)),1,0)</f>
        <v>0</v>
      </c>
      <c r="T19" s="15" t="n">
        <f aca="false">Q19+R19+S19</f>
        <v>4</v>
      </c>
      <c r="U19" s="15" t="str">
        <f aca="false">IF(OR(V19="Inactive",V19="No encontrada"),"Descartada",IF(AND(T19&gt;=Parametros!$H$5,S19=1),"A",IF(T19&gt;=Parametros!$H$6,"B","C")))</f>
        <v>B</v>
      </c>
      <c r="V19" s="17" t="s">
        <v>66</v>
      </c>
      <c r="W19" s="17"/>
    </row>
    <row r="20" customFormat="false" ht="15" hidden="false" customHeight="false" outlineLevel="0" collapsed="false">
      <c r="A20" s="14" t="s">
        <v>161</v>
      </c>
      <c r="B20" s="14" t="s">
        <v>162</v>
      </c>
      <c r="C20" s="14" t="s">
        <v>57</v>
      </c>
      <c r="D20" s="14"/>
      <c r="E20" s="14" t="s">
        <v>6</v>
      </c>
      <c r="F20" s="14" t="s">
        <v>102</v>
      </c>
      <c r="G20" s="15" t="s">
        <v>103</v>
      </c>
      <c r="H20" s="14" t="s">
        <v>104</v>
      </c>
      <c r="I20" s="14" t="s">
        <v>61</v>
      </c>
      <c r="J20" s="14" t="s">
        <v>145</v>
      </c>
      <c r="K20" s="14" t="s">
        <v>62</v>
      </c>
      <c r="L20" s="15" t="s">
        <v>63</v>
      </c>
      <c r="M20" s="14" t="s">
        <v>163</v>
      </c>
      <c r="N20" s="16" t="s">
        <v>164</v>
      </c>
      <c r="O20" s="15"/>
      <c r="P20" s="15"/>
      <c r="Q20" s="15" t="n">
        <f aca="false">IFERROR(VLOOKUP(J20,Parametros!$A$5:$B$9,2,FALSE()),0)</f>
        <v>1</v>
      </c>
      <c r="R20" s="15" t="n">
        <f aca="false">IFERROR(VLOOKUP(H20,Parametros!$D$5:$E$16,2,FALSE()),1)</f>
        <v>3</v>
      </c>
      <c r="S20" s="15" t="n">
        <f aca="false">IF(OR(N(O20)&gt;=Parametros!$H$9,AND(N(P20)&gt;0,N(P20)&lt;=Parametros!$H$10)),1,0)</f>
        <v>0</v>
      </c>
      <c r="T20" s="15" t="n">
        <f aca="false">Q20+R20+S20</f>
        <v>4</v>
      </c>
      <c r="U20" s="15" t="str">
        <f aca="false">IF(OR(V20="Inactive",V20="No encontrada"),"Descartada",IF(AND(T20&gt;=Parametros!$H$5,S20=1),"A",IF(T20&gt;=Parametros!$H$6,"B","C")))</f>
        <v>B</v>
      </c>
      <c r="V20" s="17" t="s">
        <v>66</v>
      </c>
      <c r="W20" s="17"/>
    </row>
    <row r="21" customFormat="false" ht="15" hidden="false" customHeight="false" outlineLevel="0" collapsed="false">
      <c r="A21" s="14" t="s">
        <v>165</v>
      </c>
      <c r="B21" s="14" t="s">
        <v>166</v>
      </c>
      <c r="C21" s="14" t="s">
        <v>57</v>
      </c>
      <c r="D21" s="14"/>
      <c r="E21" s="14" t="s">
        <v>6</v>
      </c>
      <c r="F21" s="14" t="s">
        <v>167</v>
      </c>
      <c r="G21" s="15" t="s">
        <v>103</v>
      </c>
      <c r="H21" s="14" t="s">
        <v>104</v>
      </c>
      <c r="I21" s="14" t="s">
        <v>61</v>
      </c>
      <c r="J21" s="14" t="s">
        <v>145</v>
      </c>
      <c r="K21" s="14" t="s">
        <v>62</v>
      </c>
      <c r="L21" s="15" t="s">
        <v>63</v>
      </c>
      <c r="M21" s="14" t="s">
        <v>168</v>
      </c>
      <c r="N21" s="16" t="s">
        <v>169</v>
      </c>
      <c r="O21" s="15"/>
      <c r="P21" s="15"/>
      <c r="Q21" s="15" t="n">
        <f aca="false">IFERROR(VLOOKUP(J21,Parametros!$A$5:$B$9,2,FALSE()),0)</f>
        <v>1</v>
      </c>
      <c r="R21" s="15" t="n">
        <f aca="false">IFERROR(VLOOKUP(H21,Parametros!$D$5:$E$16,2,FALSE()),1)</f>
        <v>3</v>
      </c>
      <c r="S21" s="15" t="n">
        <f aca="false">IF(OR(N(O21)&gt;=Parametros!$H$9,AND(N(P21)&gt;0,N(P21)&lt;=Parametros!$H$10)),1,0)</f>
        <v>0</v>
      </c>
      <c r="T21" s="15" t="n">
        <f aca="false">Q21+R21+S21</f>
        <v>4</v>
      </c>
      <c r="U21" s="15" t="str">
        <f aca="false">IF(OR(V21="Inactive",V21="No encontrada"),"Descartada",IF(AND(T21&gt;=Parametros!$H$5,S21=1),"A",IF(T21&gt;=Parametros!$H$6,"B","C")))</f>
        <v>B</v>
      </c>
      <c r="V21" s="17" t="s">
        <v>66</v>
      </c>
      <c r="W21" s="17"/>
    </row>
    <row r="22" customFormat="false" ht="15" hidden="false" customHeight="false" outlineLevel="0" collapsed="false">
      <c r="A22" s="14" t="s">
        <v>170</v>
      </c>
      <c r="B22" s="14" t="s">
        <v>171</v>
      </c>
      <c r="C22" s="14" t="s">
        <v>57</v>
      </c>
      <c r="D22" s="14"/>
      <c r="E22" s="14" t="s">
        <v>6</v>
      </c>
      <c r="F22" s="14" t="s">
        <v>172</v>
      </c>
      <c r="G22" s="15" t="s">
        <v>85</v>
      </c>
      <c r="H22" s="14" t="s">
        <v>86</v>
      </c>
      <c r="I22" s="14" t="s">
        <v>87</v>
      </c>
      <c r="J22" s="14" t="s">
        <v>145</v>
      </c>
      <c r="K22" s="14" t="s">
        <v>62</v>
      </c>
      <c r="L22" s="15" t="s">
        <v>63</v>
      </c>
      <c r="M22" s="14" t="s">
        <v>173</v>
      </c>
      <c r="N22" s="16" t="s">
        <v>174</v>
      </c>
      <c r="O22" s="15"/>
      <c r="P22" s="15"/>
      <c r="Q22" s="15" t="n">
        <f aca="false">IFERROR(VLOOKUP(J22,Parametros!$A$5:$B$9,2,FALSE()),0)</f>
        <v>1</v>
      </c>
      <c r="R22" s="15" t="n">
        <f aca="false">IFERROR(VLOOKUP(H22,Parametros!$D$5:$E$16,2,FALSE()),1)</f>
        <v>2</v>
      </c>
      <c r="S22" s="15" t="n">
        <f aca="false">IF(OR(N(O22)&gt;=Parametros!$H$9,AND(N(P22)&gt;0,N(P22)&lt;=Parametros!$H$10)),1,0)</f>
        <v>0</v>
      </c>
      <c r="T22" s="15" t="n">
        <f aca="false">Q22+R22+S22</f>
        <v>3</v>
      </c>
      <c r="U22" s="15" t="str">
        <f aca="false">IF(OR(V22="Inactive",V22="No encontrada"),"Descartada",IF(AND(T22&gt;=Parametros!$H$5,S22=1),"A",IF(T22&gt;=Parametros!$H$6,"B","C")))</f>
        <v>C</v>
      </c>
      <c r="V22" s="17" t="s">
        <v>66</v>
      </c>
      <c r="W22" s="17"/>
    </row>
    <row r="23" customFormat="false" ht="15" hidden="false" customHeight="false" outlineLevel="0" collapsed="false">
      <c r="A23" s="14" t="s">
        <v>175</v>
      </c>
      <c r="B23" s="14" t="s">
        <v>176</v>
      </c>
      <c r="C23" s="14" t="s">
        <v>57</v>
      </c>
      <c r="D23" s="14"/>
      <c r="E23" s="14" t="s">
        <v>6</v>
      </c>
      <c r="F23" s="14" t="s">
        <v>84</v>
      </c>
      <c r="G23" s="15" t="s">
        <v>85</v>
      </c>
      <c r="H23" s="14" t="s">
        <v>86</v>
      </c>
      <c r="I23" s="14" t="s">
        <v>61</v>
      </c>
      <c r="J23" s="14" t="s">
        <v>140</v>
      </c>
      <c r="K23" s="14" t="s">
        <v>177</v>
      </c>
      <c r="L23" s="15" t="s">
        <v>74</v>
      </c>
      <c r="M23" s="14" t="s">
        <v>178</v>
      </c>
      <c r="N23" s="16" t="s">
        <v>179</v>
      </c>
      <c r="O23" s="15"/>
      <c r="P23" s="15" t="n">
        <v>1987</v>
      </c>
      <c r="Q23" s="15" t="n">
        <f aca="false">IFERROR(VLOOKUP(J23,Parametros!$A$5:$B$9,2,FALSE()),0)</f>
        <v>1</v>
      </c>
      <c r="R23" s="15" t="n">
        <f aca="false">IFERROR(VLOOKUP(H23,Parametros!$D$5:$E$16,2,FALSE()),1)</f>
        <v>2</v>
      </c>
      <c r="S23" s="15" t="n">
        <f aca="false">IF(OR(N(O23)&gt;=Parametros!$H$9,AND(N(P23)&gt;0,N(P23)&lt;=Parametros!$H$10)),1,0)</f>
        <v>1</v>
      </c>
      <c r="T23" s="15" t="n">
        <f aca="false">Q23+R23+S23</f>
        <v>4</v>
      </c>
      <c r="U23" s="15" t="str">
        <f aca="false">IF(OR(V23="Inactive",V23="No encontrada"),"Descartada",IF(AND(T23&gt;=Parametros!$H$5,S23=1),"A",IF(T23&gt;=Parametros!$H$6,"B","C")))</f>
        <v>B</v>
      </c>
      <c r="V23" s="17" t="s">
        <v>66</v>
      </c>
      <c r="W23" s="17"/>
    </row>
    <row r="24" customFormat="false" ht="15" hidden="false" customHeight="false" outlineLevel="0" collapsed="false">
      <c r="A24" s="14" t="s">
        <v>180</v>
      </c>
      <c r="B24" s="14" t="s">
        <v>181</v>
      </c>
      <c r="C24" s="14" t="s">
        <v>57</v>
      </c>
      <c r="D24" s="14"/>
      <c r="E24" s="14" t="s">
        <v>6</v>
      </c>
      <c r="F24" s="14" t="s">
        <v>182</v>
      </c>
      <c r="G24" s="15" t="s">
        <v>95</v>
      </c>
      <c r="H24" s="14" t="s">
        <v>96</v>
      </c>
      <c r="I24" s="14" t="s">
        <v>145</v>
      </c>
      <c r="J24" s="14" t="s">
        <v>145</v>
      </c>
      <c r="K24" s="14" t="s">
        <v>62</v>
      </c>
      <c r="L24" s="15" t="s">
        <v>63</v>
      </c>
      <c r="M24" s="14" t="s">
        <v>183</v>
      </c>
      <c r="N24" s="16" t="s">
        <v>184</v>
      </c>
      <c r="O24" s="15"/>
      <c r="P24" s="15"/>
      <c r="Q24" s="15" t="n">
        <f aca="false">IFERROR(VLOOKUP(J24,Parametros!$A$5:$B$9,2,FALSE()),0)</f>
        <v>1</v>
      </c>
      <c r="R24" s="15" t="n">
        <f aca="false">IFERROR(VLOOKUP(H24,Parametros!$D$5:$E$16,2,FALSE()),1)</f>
        <v>3</v>
      </c>
      <c r="S24" s="15" t="n">
        <f aca="false">IF(OR(N(O24)&gt;=Parametros!$H$9,AND(N(P24)&gt;0,N(P24)&lt;=Parametros!$H$10)),1,0)</f>
        <v>0</v>
      </c>
      <c r="T24" s="15" t="n">
        <f aca="false">Q24+R24+S24</f>
        <v>4</v>
      </c>
      <c r="U24" s="15" t="str">
        <f aca="false">IF(OR(V24="Inactive",V24="No encontrada"),"Descartada",IF(AND(T24&gt;=Parametros!$H$5,S24=1),"A",IF(T24&gt;=Parametros!$H$6,"B","C")))</f>
        <v>B</v>
      </c>
      <c r="V24" s="17" t="s">
        <v>66</v>
      </c>
      <c r="W24" s="17"/>
    </row>
    <row r="25" customFormat="false" ht="15" hidden="false" customHeight="false" outlineLevel="0" collapsed="false">
      <c r="A25" s="14" t="s">
        <v>185</v>
      </c>
      <c r="B25" s="14" t="s">
        <v>186</v>
      </c>
      <c r="C25" s="14" t="s">
        <v>57</v>
      </c>
      <c r="D25" s="14"/>
      <c r="E25" s="14" t="s">
        <v>6</v>
      </c>
      <c r="F25" s="14" t="s">
        <v>187</v>
      </c>
      <c r="G25" s="15" t="s">
        <v>71</v>
      </c>
      <c r="H25" s="14" t="s">
        <v>60</v>
      </c>
      <c r="I25" s="14" t="s">
        <v>61</v>
      </c>
      <c r="J25" s="14" t="s">
        <v>140</v>
      </c>
      <c r="K25" s="14" t="s">
        <v>188</v>
      </c>
      <c r="L25" s="15" t="s">
        <v>74</v>
      </c>
      <c r="M25" s="14" t="s">
        <v>189</v>
      </c>
      <c r="N25" s="16" t="s">
        <v>190</v>
      </c>
      <c r="O25" s="15"/>
      <c r="P25" s="15" t="n">
        <v>2003</v>
      </c>
      <c r="Q25" s="15" t="n">
        <f aca="false">IFERROR(VLOOKUP(J25,Parametros!$A$5:$B$9,2,FALSE()),0)</f>
        <v>1</v>
      </c>
      <c r="R25" s="15" t="n">
        <f aca="false">IFERROR(VLOOKUP(H25,Parametros!$D$5:$E$16,2,FALSE()),1)</f>
        <v>2</v>
      </c>
      <c r="S25" s="15" t="n">
        <f aca="false">IF(OR(N(O25)&gt;=Parametros!$H$9,AND(N(P25)&gt;0,N(P25)&lt;=Parametros!$H$10)),1,0)</f>
        <v>0</v>
      </c>
      <c r="T25" s="15" t="n">
        <f aca="false">Q25+R25+S25</f>
        <v>3</v>
      </c>
      <c r="U25" s="15" t="str">
        <f aca="false">IF(OR(V25="Inactive",V25="No encontrada"),"Descartada",IF(AND(T25&gt;=Parametros!$H$5,S25=1),"A",IF(T25&gt;=Parametros!$H$6,"B","C")))</f>
        <v>C</v>
      </c>
      <c r="V25" s="17" t="s">
        <v>66</v>
      </c>
      <c r="W25" s="17"/>
    </row>
    <row r="26" customFormat="false" ht="15" hidden="false" customHeight="false" outlineLevel="0" collapsed="false">
      <c r="A26" s="14" t="s">
        <v>191</v>
      </c>
      <c r="B26" s="14" t="s">
        <v>192</v>
      </c>
      <c r="C26" s="14" t="s">
        <v>69</v>
      </c>
      <c r="D26" s="14"/>
      <c r="E26" s="14" t="s">
        <v>6</v>
      </c>
      <c r="F26" s="14" t="s">
        <v>193</v>
      </c>
      <c r="G26" s="15" t="s">
        <v>103</v>
      </c>
      <c r="H26" s="14" t="s">
        <v>104</v>
      </c>
      <c r="I26" s="14" t="s">
        <v>61</v>
      </c>
      <c r="J26" s="14" t="s">
        <v>140</v>
      </c>
      <c r="K26" s="14" t="s">
        <v>194</v>
      </c>
      <c r="L26" s="15" t="s">
        <v>74</v>
      </c>
      <c r="M26" s="14" t="s">
        <v>195</v>
      </c>
      <c r="N26" s="16" t="s">
        <v>196</v>
      </c>
      <c r="O26" s="15" t="n">
        <v>17</v>
      </c>
      <c r="P26" s="15" t="n">
        <v>1989</v>
      </c>
      <c r="Q26" s="15" t="n">
        <f aca="false">IFERROR(VLOOKUP(J26,Parametros!$A$5:$B$9,2,FALSE()),0)</f>
        <v>1</v>
      </c>
      <c r="R26" s="15" t="n">
        <f aca="false">IFERROR(VLOOKUP(H26,Parametros!$D$5:$E$16,2,FALSE()),1)</f>
        <v>3</v>
      </c>
      <c r="S26" s="15" t="n">
        <f aca="false">IF(OR(N(O26)&gt;=Parametros!$H$9,AND(N(P26)&gt;0,N(P26)&lt;=Parametros!$H$10)),1,0)</f>
        <v>1</v>
      </c>
      <c r="T26" s="15" t="n">
        <f aca="false">Q26+R26+S26</f>
        <v>5</v>
      </c>
      <c r="U26" s="15" t="str">
        <f aca="false">IF(OR(V26="Inactive",V26="No encontrada"),"Descartada",IF(AND(T26&gt;=Parametros!$H$5,S26=1),"A",IF(T26&gt;=Parametros!$H$6,"B","C")))</f>
        <v>B</v>
      </c>
      <c r="V26" s="17" t="s">
        <v>66</v>
      </c>
      <c r="W26" s="17"/>
    </row>
    <row r="27" customFormat="false" ht="15" hidden="false" customHeight="false" outlineLevel="0" collapsed="false">
      <c r="A27" s="14" t="s">
        <v>197</v>
      </c>
      <c r="B27" s="14" t="s">
        <v>198</v>
      </c>
      <c r="C27" s="14" t="s">
        <v>69</v>
      </c>
      <c r="D27" s="14"/>
      <c r="E27" s="14" t="s">
        <v>6</v>
      </c>
      <c r="F27" s="14" t="s">
        <v>199</v>
      </c>
      <c r="G27" s="15" t="s">
        <v>85</v>
      </c>
      <c r="H27" s="14" t="s">
        <v>86</v>
      </c>
      <c r="I27" s="14" t="s">
        <v>61</v>
      </c>
      <c r="J27" s="14" t="s">
        <v>140</v>
      </c>
      <c r="K27" s="14" t="s">
        <v>200</v>
      </c>
      <c r="L27" s="15" t="s">
        <v>74</v>
      </c>
      <c r="M27" s="14" t="s">
        <v>201</v>
      </c>
      <c r="N27" s="16" t="s">
        <v>202</v>
      </c>
      <c r="O27" s="15"/>
      <c r="P27" s="15" t="n">
        <v>1978</v>
      </c>
      <c r="Q27" s="15" t="n">
        <f aca="false">IFERROR(VLOOKUP(J27,Parametros!$A$5:$B$9,2,FALSE()),0)</f>
        <v>1</v>
      </c>
      <c r="R27" s="15" t="n">
        <f aca="false">IFERROR(VLOOKUP(H27,Parametros!$D$5:$E$16,2,FALSE()),1)</f>
        <v>2</v>
      </c>
      <c r="S27" s="15" t="n">
        <f aca="false">IF(OR(N(O27)&gt;=Parametros!$H$9,AND(N(P27)&gt;0,N(P27)&lt;=Parametros!$H$10)),1,0)</f>
        <v>1</v>
      </c>
      <c r="T27" s="15" t="n">
        <f aca="false">Q27+R27+S27</f>
        <v>4</v>
      </c>
      <c r="U27" s="15" t="str">
        <f aca="false">IF(OR(V27="Inactive",V27="No encontrada"),"Descartada",IF(AND(T27&gt;=Parametros!$H$5,S27=1),"A",IF(T27&gt;=Parametros!$H$6,"B","C")))</f>
        <v>B</v>
      </c>
      <c r="V27" s="17" t="s">
        <v>66</v>
      </c>
      <c r="W27" s="17"/>
    </row>
    <row r="28" customFormat="false" ht="15" hidden="false" customHeight="false" outlineLevel="0" collapsed="false">
      <c r="A28" s="14" t="s">
        <v>203</v>
      </c>
      <c r="B28" s="14" t="s">
        <v>204</v>
      </c>
      <c r="C28" s="14" t="s">
        <v>69</v>
      </c>
      <c r="D28" s="14"/>
      <c r="E28" s="14" t="s">
        <v>6</v>
      </c>
      <c r="F28" s="14" t="s">
        <v>128</v>
      </c>
      <c r="G28" s="15" t="s">
        <v>129</v>
      </c>
      <c r="H28" s="14" t="s">
        <v>60</v>
      </c>
      <c r="I28" s="14" t="s">
        <v>61</v>
      </c>
      <c r="J28" s="14" t="s">
        <v>140</v>
      </c>
      <c r="K28" s="14" t="s">
        <v>194</v>
      </c>
      <c r="L28" s="15" t="s">
        <v>74</v>
      </c>
      <c r="M28" s="14" t="s">
        <v>205</v>
      </c>
      <c r="N28" s="16" t="s">
        <v>206</v>
      </c>
      <c r="O28" s="15"/>
      <c r="P28" s="15" t="n">
        <v>2010</v>
      </c>
      <c r="Q28" s="15" t="n">
        <f aca="false">IFERROR(VLOOKUP(J28,Parametros!$A$5:$B$9,2,FALSE()),0)</f>
        <v>1</v>
      </c>
      <c r="R28" s="15" t="n">
        <f aca="false">IFERROR(VLOOKUP(H28,Parametros!$D$5:$E$16,2,FALSE()),1)</f>
        <v>2</v>
      </c>
      <c r="S28" s="15" t="n">
        <f aca="false">IF(OR(N(O28)&gt;=Parametros!$H$9,AND(N(P28)&gt;0,N(P28)&lt;=Parametros!$H$10)),1,0)</f>
        <v>0</v>
      </c>
      <c r="T28" s="15" t="n">
        <f aca="false">Q28+R28+S28</f>
        <v>3</v>
      </c>
      <c r="U28" s="15" t="str">
        <f aca="false">IF(OR(V28="Inactive",V28="No encontrada"),"Descartada",IF(AND(T28&gt;=Parametros!$H$5,S28=1),"A",IF(T28&gt;=Parametros!$H$6,"B","C")))</f>
        <v>C</v>
      </c>
      <c r="V28" s="17" t="s">
        <v>66</v>
      </c>
      <c r="W28" s="17"/>
    </row>
    <row r="29" customFormat="false" ht="15" hidden="false" customHeight="false" outlineLevel="0" collapsed="false">
      <c r="A29" s="14" t="s">
        <v>207</v>
      </c>
      <c r="B29" s="14" t="s">
        <v>208</v>
      </c>
      <c r="C29" s="14" t="s">
        <v>69</v>
      </c>
      <c r="D29" s="14"/>
      <c r="E29" s="14" t="s">
        <v>6</v>
      </c>
      <c r="F29" s="14" t="s">
        <v>209</v>
      </c>
      <c r="G29" s="15" t="s">
        <v>71</v>
      </c>
      <c r="H29" s="14" t="s">
        <v>60</v>
      </c>
      <c r="I29" s="14" t="s">
        <v>61</v>
      </c>
      <c r="J29" s="14" t="s">
        <v>140</v>
      </c>
      <c r="K29" s="14" t="s">
        <v>62</v>
      </c>
      <c r="L29" s="15" t="s">
        <v>63</v>
      </c>
      <c r="M29" s="14" t="s">
        <v>210</v>
      </c>
      <c r="N29" s="16" t="s">
        <v>211</v>
      </c>
      <c r="O29" s="15"/>
      <c r="P29" s="15" t="n">
        <v>1994</v>
      </c>
      <c r="Q29" s="15" t="n">
        <f aca="false">IFERROR(VLOOKUP(J29,Parametros!$A$5:$B$9,2,FALSE()),0)</f>
        <v>1</v>
      </c>
      <c r="R29" s="15" t="n">
        <f aca="false">IFERROR(VLOOKUP(H29,Parametros!$D$5:$E$16,2,FALSE()),1)</f>
        <v>2</v>
      </c>
      <c r="S29" s="15" t="n">
        <f aca="false">IF(OR(N(O29)&gt;=Parametros!$H$9,AND(N(P29)&gt;0,N(P29)&lt;=Parametros!$H$10)),1,0)</f>
        <v>1</v>
      </c>
      <c r="T29" s="15" t="n">
        <f aca="false">Q29+R29+S29</f>
        <v>4</v>
      </c>
      <c r="U29" s="15" t="str">
        <f aca="false">IF(OR(V29="Inactive",V29="No encontrada"),"Descartada",IF(AND(T29&gt;=Parametros!$H$5,S29=1),"A",IF(T29&gt;=Parametros!$H$6,"B","C")))</f>
        <v>B</v>
      </c>
      <c r="V29" s="17" t="s">
        <v>66</v>
      </c>
      <c r="W29" s="17"/>
    </row>
    <row r="30" customFormat="false" ht="15" hidden="false" customHeight="false" outlineLevel="0" collapsed="false">
      <c r="A30" s="14" t="s">
        <v>212</v>
      </c>
      <c r="B30" s="14" t="s">
        <v>213</v>
      </c>
      <c r="C30" s="14" t="s">
        <v>69</v>
      </c>
      <c r="D30" s="14"/>
      <c r="E30" s="14" t="s">
        <v>6</v>
      </c>
      <c r="F30" s="14" t="s">
        <v>214</v>
      </c>
      <c r="G30" s="15" t="s">
        <v>151</v>
      </c>
      <c r="H30" s="14" t="s">
        <v>152</v>
      </c>
      <c r="I30" s="14" t="s">
        <v>87</v>
      </c>
      <c r="J30" s="14" t="s">
        <v>157</v>
      </c>
      <c r="K30" s="14" t="s">
        <v>118</v>
      </c>
      <c r="L30" s="15" t="s">
        <v>74</v>
      </c>
      <c r="M30" s="14" t="s">
        <v>215</v>
      </c>
      <c r="N30" s="16" t="s">
        <v>216</v>
      </c>
      <c r="O30" s="15"/>
      <c r="P30" s="15" t="n">
        <v>2012</v>
      </c>
      <c r="Q30" s="15" t="n">
        <f aca="false">IFERROR(VLOOKUP(J30,Parametros!$A$5:$B$9,2,FALSE()),0)</f>
        <v>2</v>
      </c>
      <c r="R30" s="15" t="n">
        <f aca="false">IFERROR(VLOOKUP(H30,Parametros!$D$5:$E$16,2,FALSE()),1)</f>
        <v>2</v>
      </c>
      <c r="S30" s="15" t="n">
        <f aca="false">IF(OR(N(O30)&gt;=Parametros!$H$9,AND(N(P30)&gt;0,N(P30)&lt;=Parametros!$H$10)),1,0)</f>
        <v>0</v>
      </c>
      <c r="T30" s="15" t="n">
        <f aca="false">Q30+R30+S30</f>
        <v>4</v>
      </c>
      <c r="U30" s="15" t="str">
        <f aca="false">IF(OR(V30="Inactive",V30="No encontrada"),"Descartada",IF(AND(T30&gt;=Parametros!$H$5,S30=1),"A",IF(T30&gt;=Parametros!$H$6,"B","C")))</f>
        <v>B</v>
      </c>
      <c r="V30" s="17" t="s">
        <v>66</v>
      </c>
      <c r="W30" s="17"/>
    </row>
    <row r="31" customFormat="false" ht="15" hidden="false" customHeight="false" outlineLevel="0" collapsed="false">
      <c r="A31" s="14" t="s">
        <v>217</v>
      </c>
      <c r="B31" s="14" t="s">
        <v>218</v>
      </c>
      <c r="C31" s="14" t="s">
        <v>69</v>
      </c>
      <c r="D31" s="14"/>
      <c r="E31" s="14" t="s">
        <v>6</v>
      </c>
      <c r="F31" s="14" t="s">
        <v>209</v>
      </c>
      <c r="G31" s="15" t="s">
        <v>71</v>
      </c>
      <c r="H31" s="14" t="s">
        <v>60</v>
      </c>
      <c r="I31" s="14" t="s">
        <v>145</v>
      </c>
      <c r="J31" s="14" t="s">
        <v>145</v>
      </c>
      <c r="K31" s="14" t="s">
        <v>62</v>
      </c>
      <c r="L31" s="15" t="s">
        <v>63</v>
      </c>
      <c r="M31" s="14" t="s">
        <v>163</v>
      </c>
      <c r="N31" s="16" t="s">
        <v>219</v>
      </c>
      <c r="O31" s="15"/>
      <c r="P31" s="15"/>
      <c r="Q31" s="15" t="n">
        <f aca="false">IFERROR(VLOOKUP(J31,Parametros!$A$5:$B$9,2,FALSE()),0)</f>
        <v>1</v>
      </c>
      <c r="R31" s="15" t="n">
        <f aca="false">IFERROR(VLOOKUP(H31,Parametros!$D$5:$E$16,2,FALSE()),1)</f>
        <v>2</v>
      </c>
      <c r="S31" s="15" t="n">
        <f aca="false">IF(OR(N(O31)&gt;=Parametros!$H$9,AND(N(P31)&gt;0,N(P31)&lt;=Parametros!$H$10)),1,0)</f>
        <v>0</v>
      </c>
      <c r="T31" s="15" t="n">
        <f aca="false">Q31+R31+S31</f>
        <v>3</v>
      </c>
      <c r="U31" s="15" t="str">
        <f aca="false">IF(OR(V31="Inactive",V31="No encontrada"),"Descartada",IF(AND(T31&gt;=Parametros!$H$5,S31=1),"A",IF(T31&gt;=Parametros!$H$6,"B","C")))</f>
        <v>C</v>
      </c>
      <c r="V31" s="17" t="s">
        <v>66</v>
      </c>
      <c r="W31" s="17"/>
    </row>
    <row r="32" customFormat="false" ht="15" hidden="false" customHeight="false" outlineLevel="0" collapsed="false">
      <c r="A32" s="14" t="s">
        <v>220</v>
      </c>
      <c r="B32" s="14" t="s">
        <v>221</v>
      </c>
      <c r="C32" s="14" t="s">
        <v>69</v>
      </c>
      <c r="D32" s="14"/>
      <c r="E32" s="14" t="s">
        <v>6</v>
      </c>
      <c r="F32" s="14" t="s">
        <v>222</v>
      </c>
      <c r="G32" s="15" t="s">
        <v>151</v>
      </c>
      <c r="H32" s="14" t="s">
        <v>152</v>
      </c>
      <c r="I32" s="14" t="s">
        <v>61</v>
      </c>
      <c r="J32" s="14" t="s">
        <v>140</v>
      </c>
      <c r="K32" s="14" t="s">
        <v>223</v>
      </c>
      <c r="L32" s="15" t="s">
        <v>74</v>
      </c>
      <c r="M32" s="14" t="s">
        <v>224</v>
      </c>
      <c r="N32" s="16" t="s">
        <v>225</v>
      </c>
      <c r="O32" s="15"/>
      <c r="P32" s="15"/>
      <c r="Q32" s="15" t="n">
        <f aca="false">IFERROR(VLOOKUP(J32,Parametros!$A$5:$B$9,2,FALSE()),0)</f>
        <v>1</v>
      </c>
      <c r="R32" s="15" t="n">
        <f aca="false">IFERROR(VLOOKUP(H32,Parametros!$D$5:$E$16,2,FALSE()),1)</f>
        <v>2</v>
      </c>
      <c r="S32" s="15" t="n">
        <f aca="false">IF(OR(N(O32)&gt;=Parametros!$H$9,AND(N(P32)&gt;0,N(P32)&lt;=Parametros!$H$10)),1,0)</f>
        <v>0</v>
      </c>
      <c r="T32" s="15" t="n">
        <f aca="false">Q32+R32+S32</f>
        <v>3</v>
      </c>
      <c r="U32" s="15" t="str">
        <f aca="false">IF(OR(V32="Inactive",V32="No encontrada"),"Descartada",IF(AND(T32&gt;=Parametros!$H$5,S32=1),"A",IF(T32&gt;=Parametros!$H$6,"B","C")))</f>
        <v>C</v>
      </c>
      <c r="V32" s="17" t="s">
        <v>66</v>
      </c>
      <c r="W32" s="17"/>
    </row>
    <row r="33" customFormat="false" ht="15" hidden="false" customHeight="false" outlineLevel="0" collapsed="false">
      <c r="A33" s="14" t="s">
        <v>226</v>
      </c>
      <c r="B33" s="14" t="s">
        <v>227</v>
      </c>
      <c r="C33" s="14" t="s">
        <v>69</v>
      </c>
      <c r="D33" s="14"/>
      <c r="E33" s="14" t="s">
        <v>6</v>
      </c>
      <c r="F33" s="14" t="s">
        <v>222</v>
      </c>
      <c r="G33" s="15" t="s">
        <v>151</v>
      </c>
      <c r="H33" s="14" t="s">
        <v>152</v>
      </c>
      <c r="I33" s="14" t="s">
        <v>145</v>
      </c>
      <c r="J33" s="14" t="s">
        <v>145</v>
      </c>
      <c r="K33" s="14" t="s">
        <v>118</v>
      </c>
      <c r="L33" s="15" t="s">
        <v>74</v>
      </c>
      <c r="M33" s="14" t="s">
        <v>228</v>
      </c>
      <c r="N33" s="16" t="s">
        <v>229</v>
      </c>
      <c r="O33" s="15"/>
      <c r="P33" s="15"/>
      <c r="Q33" s="15" t="n">
        <f aca="false">IFERROR(VLOOKUP(J33,Parametros!$A$5:$B$9,2,FALSE()),0)</f>
        <v>1</v>
      </c>
      <c r="R33" s="15" t="n">
        <f aca="false">IFERROR(VLOOKUP(H33,Parametros!$D$5:$E$16,2,FALSE()),1)</f>
        <v>2</v>
      </c>
      <c r="S33" s="15" t="n">
        <f aca="false">IF(OR(N(O33)&gt;=Parametros!$H$9,AND(N(P33)&gt;0,N(P33)&lt;=Parametros!$H$10)),1,0)</f>
        <v>0</v>
      </c>
      <c r="T33" s="15" t="n">
        <f aca="false">Q33+R33+S33</f>
        <v>3</v>
      </c>
      <c r="U33" s="15" t="str">
        <f aca="false">IF(OR(V33="Inactive",V33="No encontrada"),"Descartada",IF(AND(T33&gt;=Parametros!$H$5,S33=1),"A",IF(T33&gt;=Parametros!$H$6,"B","C")))</f>
        <v>C</v>
      </c>
      <c r="V33" s="17" t="s">
        <v>66</v>
      </c>
      <c r="W33" s="17"/>
    </row>
    <row r="34" customFormat="false" ht="15" hidden="false" customHeight="false" outlineLevel="0" collapsed="false">
      <c r="A34" s="14" t="s">
        <v>230</v>
      </c>
      <c r="B34" s="14" t="s">
        <v>231</v>
      </c>
      <c r="C34" s="14" t="s">
        <v>69</v>
      </c>
      <c r="D34" s="14"/>
      <c r="E34" s="14" t="s">
        <v>6</v>
      </c>
      <c r="F34" s="14" t="s">
        <v>222</v>
      </c>
      <c r="G34" s="15" t="s">
        <v>151</v>
      </c>
      <c r="H34" s="14" t="s">
        <v>152</v>
      </c>
      <c r="I34" s="14" t="s">
        <v>145</v>
      </c>
      <c r="J34" s="14" t="s">
        <v>145</v>
      </c>
      <c r="K34" s="14" t="s">
        <v>118</v>
      </c>
      <c r="L34" s="15" t="s">
        <v>74</v>
      </c>
      <c r="M34" s="14" t="s">
        <v>228</v>
      </c>
      <c r="N34" s="16" t="s">
        <v>232</v>
      </c>
      <c r="O34" s="15"/>
      <c r="P34" s="15"/>
      <c r="Q34" s="15" t="n">
        <f aca="false">IFERROR(VLOOKUP(J34,Parametros!$A$5:$B$9,2,FALSE()),0)</f>
        <v>1</v>
      </c>
      <c r="R34" s="15" t="n">
        <f aca="false">IFERROR(VLOOKUP(H34,Parametros!$D$5:$E$16,2,FALSE()),1)</f>
        <v>2</v>
      </c>
      <c r="S34" s="15" t="n">
        <f aca="false">IF(OR(N(O34)&gt;=Parametros!$H$9,AND(N(P34)&gt;0,N(P34)&lt;=Parametros!$H$10)),1,0)</f>
        <v>0</v>
      </c>
      <c r="T34" s="15" t="n">
        <f aca="false">Q34+R34+S34</f>
        <v>3</v>
      </c>
      <c r="U34" s="15" t="str">
        <f aca="false">IF(OR(V34="Inactive",V34="No encontrada"),"Descartada",IF(AND(T34&gt;=Parametros!$H$5,S34=1),"A",IF(T34&gt;=Parametros!$H$6,"B","C")))</f>
        <v>C</v>
      </c>
      <c r="V34" s="17" t="s">
        <v>66</v>
      </c>
      <c r="W34" s="17"/>
    </row>
    <row r="35" customFormat="false" ht="15" hidden="false" customHeight="false" outlineLevel="0" collapsed="false">
      <c r="A35" s="14" t="s">
        <v>233</v>
      </c>
      <c r="B35" s="14" t="s">
        <v>234</v>
      </c>
      <c r="C35" s="14" t="s">
        <v>69</v>
      </c>
      <c r="D35" s="14"/>
      <c r="E35" s="14" t="s">
        <v>6</v>
      </c>
      <c r="F35" s="14" t="s">
        <v>235</v>
      </c>
      <c r="G35" s="15" t="s">
        <v>85</v>
      </c>
      <c r="H35" s="14" t="s">
        <v>86</v>
      </c>
      <c r="I35" s="14" t="s">
        <v>61</v>
      </c>
      <c r="J35" s="14" t="s">
        <v>140</v>
      </c>
      <c r="K35" s="14" t="s">
        <v>236</v>
      </c>
      <c r="L35" s="15" t="s">
        <v>74</v>
      </c>
      <c r="M35" s="14" t="s">
        <v>237</v>
      </c>
      <c r="N35" s="16" t="s">
        <v>238</v>
      </c>
      <c r="O35" s="15"/>
      <c r="P35" s="15" t="n">
        <v>1998</v>
      </c>
      <c r="Q35" s="15" t="n">
        <f aca="false">IFERROR(VLOOKUP(J35,Parametros!$A$5:$B$9,2,FALSE()),0)</f>
        <v>1</v>
      </c>
      <c r="R35" s="15" t="n">
        <f aca="false">IFERROR(VLOOKUP(H35,Parametros!$D$5:$E$16,2,FALSE()),1)</f>
        <v>2</v>
      </c>
      <c r="S35" s="15" t="n">
        <f aca="false">IF(OR(N(O35)&gt;=Parametros!$H$9,AND(N(P35)&gt;0,N(P35)&lt;=Parametros!$H$10)),1,0)</f>
        <v>1</v>
      </c>
      <c r="T35" s="15" t="n">
        <f aca="false">Q35+R35+S35</f>
        <v>4</v>
      </c>
      <c r="U35" s="15" t="str">
        <f aca="false">IF(OR(V35="Inactive",V35="No encontrada"),"Descartada",IF(AND(T35&gt;=Parametros!$H$5,S35=1),"A",IF(T35&gt;=Parametros!$H$6,"B","C")))</f>
        <v>B</v>
      </c>
      <c r="V35" s="17" t="s">
        <v>66</v>
      </c>
      <c r="W35" s="17"/>
    </row>
    <row r="36" customFormat="false" ht="15" hidden="false" customHeight="false" outlineLevel="0" collapsed="false">
      <c r="A36" s="14" t="s">
        <v>239</v>
      </c>
      <c r="B36" s="14" t="s">
        <v>240</v>
      </c>
      <c r="C36" s="14" t="s">
        <v>69</v>
      </c>
      <c r="D36" s="14"/>
      <c r="E36" s="14" t="s">
        <v>6</v>
      </c>
      <c r="F36" s="14" t="s">
        <v>241</v>
      </c>
      <c r="G36" s="15" t="s">
        <v>85</v>
      </c>
      <c r="H36" s="14" t="s">
        <v>86</v>
      </c>
      <c r="I36" s="14" t="s">
        <v>61</v>
      </c>
      <c r="J36" s="14" t="s">
        <v>111</v>
      </c>
      <c r="K36" s="14" t="s">
        <v>62</v>
      </c>
      <c r="L36" s="15" t="s">
        <v>63</v>
      </c>
      <c r="M36" s="14" t="s">
        <v>242</v>
      </c>
      <c r="N36" s="16" t="s">
        <v>243</v>
      </c>
      <c r="O36" s="15"/>
      <c r="P36" s="15"/>
      <c r="Q36" s="15" t="n">
        <f aca="false">IFERROR(VLOOKUP(J36,Parametros!$A$5:$B$9,2,FALSE()),0)</f>
        <v>3</v>
      </c>
      <c r="R36" s="15" t="n">
        <f aca="false">IFERROR(VLOOKUP(H36,Parametros!$D$5:$E$16,2,FALSE()),1)</f>
        <v>2</v>
      </c>
      <c r="S36" s="15" t="n">
        <f aca="false">IF(OR(N(O36)&gt;=Parametros!$H$9,AND(N(P36)&gt;0,N(P36)&lt;=Parametros!$H$10)),1,0)</f>
        <v>0</v>
      </c>
      <c r="T36" s="15" t="n">
        <f aca="false">Q36+R36+S36</f>
        <v>5</v>
      </c>
      <c r="U36" s="15" t="str">
        <f aca="false">IF(OR(V36="Inactive",V36="No encontrada"),"Descartada",IF(AND(T36&gt;=Parametros!$H$5,S36=1),"A",IF(T36&gt;=Parametros!$H$6,"B","C")))</f>
        <v>B</v>
      </c>
      <c r="V36" s="17" t="s">
        <v>66</v>
      </c>
      <c r="W36" s="17"/>
    </row>
    <row r="37" customFormat="false" ht="15" hidden="false" customHeight="false" outlineLevel="0" collapsed="false">
      <c r="A37" s="14" t="s">
        <v>244</v>
      </c>
      <c r="B37" s="14" t="s">
        <v>245</v>
      </c>
      <c r="C37" s="14" t="s">
        <v>69</v>
      </c>
      <c r="D37" s="14"/>
      <c r="E37" s="14" t="s">
        <v>6</v>
      </c>
      <c r="F37" s="14" t="s">
        <v>246</v>
      </c>
      <c r="G37" s="15" t="s">
        <v>129</v>
      </c>
      <c r="H37" s="14" t="s">
        <v>60</v>
      </c>
      <c r="I37" s="14" t="s">
        <v>61</v>
      </c>
      <c r="J37" s="14" t="s">
        <v>145</v>
      </c>
      <c r="K37" s="14" t="s">
        <v>62</v>
      </c>
      <c r="L37" s="15" t="s">
        <v>63</v>
      </c>
      <c r="M37" s="14" t="s">
        <v>247</v>
      </c>
      <c r="N37" s="16" t="s">
        <v>248</v>
      </c>
      <c r="O37" s="15"/>
      <c r="P37" s="15" t="n">
        <v>1996</v>
      </c>
      <c r="Q37" s="15" t="n">
        <f aca="false">IFERROR(VLOOKUP(J37,Parametros!$A$5:$B$9,2,FALSE()),0)</f>
        <v>1</v>
      </c>
      <c r="R37" s="15" t="n">
        <f aca="false">IFERROR(VLOOKUP(H37,Parametros!$D$5:$E$16,2,FALSE()),1)</f>
        <v>2</v>
      </c>
      <c r="S37" s="15" t="n">
        <f aca="false">IF(OR(N(O37)&gt;=Parametros!$H$9,AND(N(P37)&gt;0,N(P37)&lt;=Parametros!$H$10)),1,0)</f>
        <v>1</v>
      </c>
      <c r="T37" s="15" t="n">
        <f aca="false">Q37+R37+S37</f>
        <v>4</v>
      </c>
      <c r="U37" s="15" t="str">
        <f aca="false">IF(OR(V37="Inactive",V37="No encontrada"),"Descartada",IF(AND(T37&gt;=Parametros!$H$5,S37=1),"A",IF(T37&gt;=Parametros!$H$6,"B","C")))</f>
        <v>B</v>
      </c>
      <c r="V37" s="17" t="s">
        <v>66</v>
      </c>
      <c r="W37" s="17"/>
    </row>
    <row r="38" customFormat="false" ht="15" hidden="false" customHeight="false" outlineLevel="0" collapsed="false">
      <c r="A38" s="14" t="s">
        <v>249</v>
      </c>
      <c r="B38" s="14" t="s">
        <v>250</v>
      </c>
      <c r="C38" s="14" t="s">
        <v>251</v>
      </c>
      <c r="D38" s="14"/>
      <c r="E38" s="14" t="s">
        <v>6</v>
      </c>
      <c r="F38" s="14" t="s">
        <v>252</v>
      </c>
      <c r="G38" s="15" t="s">
        <v>103</v>
      </c>
      <c r="H38" s="14" t="s">
        <v>104</v>
      </c>
      <c r="I38" s="14" t="s">
        <v>61</v>
      </c>
      <c r="J38" s="14" t="s">
        <v>140</v>
      </c>
      <c r="K38" s="14" t="s">
        <v>62</v>
      </c>
      <c r="L38" s="15" t="s">
        <v>63</v>
      </c>
      <c r="M38" s="14" t="s">
        <v>253</v>
      </c>
      <c r="N38" s="16" t="s">
        <v>254</v>
      </c>
      <c r="O38" s="15" t="n">
        <v>50</v>
      </c>
      <c r="P38" s="15" t="n">
        <v>1999</v>
      </c>
      <c r="Q38" s="15" t="n">
        <f aca="false">IFERROR(VLOOKUP(J38,Parametros!$A$5:$B$9,2,FALSE()),0)</f>
        <v>1</v>
      </c>
      <c r="R38" s="15" t="n">
        <f aca="false">IFERROR(VLOOKUP(H38,Parametros!$D$5:$E$16,2,FALSE()),1)</f>
        <v>3</v>
      </c>
      <c r="S38" s="15" t="n">
        <f aca="false">IF(OR(N(O38)&gt;=Parametros!$H$9,AND(N(P38)&gt;0,N(P38)&lt;=Parametros!$H$10)),1,0)</f>
        <v>1</v>
      </c>
      <c r="T38" s="15" t="n">
        <f aca="false">Q38+R38+S38</f>
        <v>5</v>
      </c>
      <c r="U38" s="15" t="str">
        <f aca="false">IF(OR(V38="Inactive",V38="No encontrada"),"Descartada",IF(AND(T38&gt;=Parametros!$H$5,S38=1),"A",IF(T38&gt;=Parametros!$H$6,"B","C")))</f>
        <v>B</v>
      </c>
      <c r="V38" s="17" t="s">
        <v>66</v>
      </c>
      <c r="W38" s="17"/>
    </row>
    <row r="39" customFormat="false" ht="15" hidden="false" customHeight="false" outlineLevel="0" collapsed="false">
      <c r="A39" s="14" t="s">
        <v>255</v>
      </c>
      <c r="B39" s="14" t="s">
        <v>256</v>
      </c>
      <c r="C39" s="14" t="s">
        <v>251</v>
      </c>
      <c r="D39" s="14"/>
      <c r="E39" s="14" t="s">
        <v>6</v>
      </c>
      <c r="F39" s="14" t="s">
        <v>102</v>
      </c>
      <c r="G39" s="15" t="s">
        <v>103</v>
      </c>
      <c r="H39" s="14" t="s">
        <v>104</v>
      </c>
      <c r="I39" s="14" t="s">
        <v>61</v>
      </c>
      <c r="J39" s="14" t="s">
        <v>140</v>
      </c>
      <c r="K39" s="14" t="s">
        <v>257</v>
      </c>
      <c r="L39" s="15" t="s">
        <v>74</v>
      </c>
      <c r="M39" s="14" t="s">
        <v>258</v>
      </c>
      <c r="N39" s="16" t="s">
        <v>259</v>
      </c>
      <c r="O39" s="15"/>
      <c r="P39" s="15" t="n">
        <v>2004</v>
      </c>
      <c r="Q39" s="15" t="n">
        <f aca="false">IFERROR(VLOOKUP(J39,Parametros!$A$5:$B$9,2,FALSE()),0)</f>
        <v>1</v>
      </c>
      <c r="R39" s="15" t="n">
        <f aca="false">IFERROR(VLOOKUP(H39,Parametros!$D$5:$E$16,2,FALSE()),1)</f>
        <v>3</v>
      </c>
      <c r="S39" s="15" t="n">
        <f aca="false">IF(OR(N(O39)&gt;=Parametros!$H$9,AND(N(P39)&gt;0,N(P39)&lt;=Parametros!$H$10)),1,0)</f>
        <v>0</v>
      </c>
      <c r="T39" s="15" t="n">
        <f aca="false">Q39+R39+S39</f>
        <v>4</v>
      </c>
      <c r="U39" s="15" t="str">
        <f aca="false">IF(OR(V39="Inactive",V39="No encontrada"),"Descartada",IF(AND(T39&gt;=Parametros!$H$5,S39=1),"A",IF(T39&gt;=Parametros!$H$6,"B","C")))</f>
        <v>B</v>
      </c>
      <c r="V39" s="17" t="s">
        <v>66</v>
      </c>
      <c r="W39" s="17"/>
    </row>
    <row r="40" customFormat="false" ht="15" hidden="false" customHeight="false" outlineLevel="0" collapsed="false">
      <c r="A40" s="14" t="s">
        <v>260</v>
      </c>
      <c r="B40" s="14" t="s">
        <v>261</v>
      </c>
      <c r="C40" s="14" t="s">
        <v>251</v>
      </c>
      <c r="D40" s="14"/>
      <c r="E40" s="14" t="s">
        <v>6</v>
      </c>
      <c r="F40" s="14" t="s">
        <v>102</v>
      </c>
      <c r="G40" s="15" t="s">
        <v>103</v>
      </c>
      <c r="H40" s="14" t="s">
        <v>104</v>
      </c>
      <c r="I40" s="14" t="s">
        <v>72</v>
      </c>
      <c r="J40" s="14" t="s">
        <v>145</v>
      </c>
      <c r="K40" s="14" t="s">
        <v>62</v>
      </c>
      <c r="L40" s="15" t="s">
        <v>63</v>
      </c>
      <c r="M40" s="14" t="s">
        <v>163</v>
      </c>
      <c r="N40" s="16" t="s">
        <v>262</v>
      </c>
      <c r="O40" s="15"/>
      <c r="P40" s="15"/>
      <c r="Q40" s="15" t="n">
        <f aca="false">IFERROR(VLOOKUP(J40,Parametros!$A$5:$B$9,2,FALSE()),0)</f>
        <v>1</v>
      </c>
      <c r="R40" s="15" t="n">
        <f aca="false">IFERROR(VLOOKUP(H40,Parametros!$D$5:$E$16,2,FALSE()),1)</f>
        <v>3</v>
      </c>
      <c r="S40" s="15" t="n">
        <f aca="false">IF(OR(N(O40)&gt;=Parametros!$H$9,AND(N(P40)&gt;0,N(P40)&lt;=Parametros!$H$10)),1,0)</f>
        <v>0</v>
      </c>
      <c r="T40" s="15" t="n">
        <f aca="false">Q40+R40+S40</f>
        <v>4</v>
      </c>
      <c r="U40" s="15" t="str">
        <f aca="false">IF(OR(V40="Inactive",V40="No encontrada"),"Descartada",IF(AND(T40&gt;=Parametros!$H$5,S40=1),"A",IF(T40&gt;=Parametros!$H$6,"B","C")))</f>
        <v>B</v>
      </c>
      <c r="V40" s="17" t="s">
        <v>66</v>
      </c>
      <c r="W40" s="17"/>
    </row>
    <row r="41" customFormat="false" ht="15" hidden="false" customHeight="false" outlineLevel="0" collapsed="false">
      <c r="A41" s="14" t="s">
        <v>263</v>
      </c>
      <c r="B41" s="14" t="s">
        <v>264</v>
      </c>
      <c r="C41" s="14" t="s">
        <v>251</v>
      </c>
      <c r="D41" s="14"/>
      <c r="E41" s="14" t="s">
        <v>6</v>
      </c>
      <c r="F41" s="14" t="s">
        <v>265</v>
      </c>
      <c r="G41" s="15" t="s">
        <v>85</v>
      </c>
      <c r="H41" s="14" t="s">
        <v>86</v>
      </c>
      <c r="I41" s="14" t="s">
        <v>72</v>
      </c>
      <c r="J41" s="14" t="s">
        <v>140</v>
      </c>
      <c r="K41" s="14" t="s">
        <v>62</v>
      </c>
      <c r="L41" s="15" t="s">
        <v>63</v>
      </c>
      <c r="M41" s="14" t="s">
        <v>266</v>
      </c>
      <c r="N41" s="16" t="s">
        <v>267</v>
      </c>
      <c r="O41" s="15" t="n">
        <v>11</v>
      </c>
      <c r="P41" s="15" t="n">
        <v>1981</v>
      </c>
      <c r="Q41" s="15" t="n">
        <f aca="false">IFERROR(VLOOKUP(J41,Parametros!$A$5:$B$9,2,FALSE()),0)</f>
        <v>1</v>
      </c>
      <c r="R41" s="15" t="n">
        <f aca="false">IFERROR(VLOOKUP(H41,Parametros!$D$5:$E$16,2,FALSE()),1)</f>
        <v>2</v>
      </c>
      <c r="S41" s="15" t="n">
        <f aca="false">IF(OR(N(O41)&gt;=Parametros!$H$9,AND(N(P41)&gt;0,N(P41)&lt;=Parametros!$H$10)),1,0)</f>
        <v>1</v>
      </c>
      <c r="T41" s="15" t="n">
        <f aca="false">Q41+R41+S41</f>
        <v>4</v>
      </c>
      <c r="U41" s="15" t="str">
        <f aca="false">IF(OR(V41="Inactive",V41="No encontrada"),"Descartada",IF(AND(T41&gt;=Parametros!$H$5,S41=1),"A",IF(T41&gt;=Parametros!$H$6,"B","C")))</f>
        <v>B</v>
      </c>
      <c r="V41" s="17" t="s">
        <v>66</v>
      </c>
      <c r="W41" s="17"/>
    </row>
    <row r="42" customFormat="false" ht="15" hidden="false" customHeight="false" outlineLevel="0" collapsed="false">
      <c r="A42" s="14" t="s">
        <v>268</v>
      </c>
      <c r="B42" s="14" t="s">
        <v>269</v>
      </c>
      <c r="C42" s="14" t="s">
        <v>251</v>
      </c>
      <c r="D42" s="14"/>
      <c r="E42" s="14" t="s">
        <v>6</v>
      </c>
      <c r="F42" s="14" t="s">
        <v>270</v>
      </c>
      <c r="G42" s="15" t="s">
        <v>85</v>
      </c>
      <c r="H42" s="14" t="s">
        <v>86</v>
      </c>
      <c r="I42" s="14" t="s">
        <v>72</v>
      </c>
      <c r="J42" s="14" t="s">
        <v>145</v>
      </c>
      <c r="K42" s="14" t="s">
        <v>62</v>
      </c>
      <c r="L42" s="15" t="s">
        <v>63</v>
      </c>
      <c r="M42" s="14" t="s">
        <v>271</v>
      </c>
      <c r="N42" s="16" t="s">
        <v>272</v>
      </c>
      <c r="O42" s="15"/>
      <c r="P42" s="15"/>
      <c r="Q42" s="15" t="n">
        <f aca="false">IFERROR(VLOOKUP(J42,Parametros!$A$5:$B$9,2,FALSE()),0)</f>
        <v>1</v>
      </c>
      <c r="R42" s="15" t="n">
        <f aca="false">IFERROR(VLOOKUP(H42,Parametros!$D$5:$E$16,2,FALSE()),1)</f>
        <v>2</v>
      </c>
      <c r="S42" s="15" t="n">
        <f aca="false">IF(OR(N(O42)&gt;=Parametros!$H$9,AND(N(P42)&gt;0,N(P42)&lt;=Parametros!$H$10)),1,0)</f>
        <v>0</v>
      </c>
      <c r="T42" s="15" t="n">
        <f aca="false">Q42+R42+S42</f>
        <v>3</v>
      </c>
      <c r="U42" s="15" t="str">
        <f aca="false">IF(OR(V42="Inactive",V42="No encontrada"),"Descartada",IF(AND(T42&gt;=Parametros!$H$5,S42=1),"A",IF(T42&gt;=Parametros!$H$6,"B","C")))</f>
        <v>C</v>
      </c>
      <c r="V42" s="17" t="s">
        <v>66</v>
      </c>
      <c r="W42" s="17"/>
    </row>
    <row r="43" customFormat="false" ht="15" hidden="false" customHeight="false" outlineLevel="0" collapsed="false">
      <c r="A43" s="14" t="s">
        <v>273</v>
      </c>
      <c r="B43" s="14" t="s">
        <v>274</v>
      </c>
      <c r="C43" s="14" t="s">
        <v>251</v>
      </c>
      <c r="D43" s="14"/>
      <c r="E43" s="14" t="s">
        <v>6</v>
      </c>
      <c r="F43" s="14" t="s">
        <v>172</v>
      </c>
      <c r="G43" s="15" t="s">
        <v>85</v>
      </c>
      <c r="H43" s="14" t="s">
        <v>86</v>
      </c>
      <c r="I43" s="14" t="s">
        <v>61</v>
      </c>
      <c r="J43" s="14" t="s">
        <v>145</v>
      </c>
      <c r="K43" s="14" t="s">
        <v>62</v>
      </c>
      <c r="L43" s="15" t="s">
        <v>63</v>
      </c>
      <c r="M43" s="14" t="s">
        <v>271</v>
      </c>
      <c r="N43" s="16" t="s">
        <v>275</v>
      </c>
      <c r="O43" s="15"/>
      <c r="P43" s="15"/>
      <c r="Q43" s="15" t="n">
        <f aca="false">IFERROR(VLOOKUP(J43,Parametros!$A$5:$B$9,2,FALSE()),0)</f>
        <v>1</v>
      </c>
      <c r="R43" s="15" t="n">
        <f aca="false">IFERROR(VLOOKUP(H43,Parametros!$D$5:$E$16,2,FALSE()),1)</f>
        <v>2</v>
      </c>
      <c r="S43" s="15" t="n">
        <f aca="false">IF(OR(N(O43)&gt;=Parametros!$H$9,AND(N(P43)&gt;0,N(P43)&lt;=Parametros!$H$10)),1,0)</f>
        <v>0</v>
      </c>
      <c r="T43" s="15" t="n">
        <f aca="false">Q43+R43+S43</f>
        <v>3</v>
      </c>
      <c r="U43" s="15" t="str">
        <f aca="false">IF(OR(V43="Inactive",V43="No encontrada"),"Descartada",IF(AND(T43&gt;=Parametros!$H$5,S43=1),"A",IF(T43&gt;=Parametros!$H$6,"B","C")))</f>
        <v>C</v>
      </c>
      <c r="V43" s="17" t="s">
        <v>66</v>
      </c>
      <c r="W43" s="17"/>
    </row>
    <row r="44" customFormat="false" ht="15" hidden="false" customHeight="false" outlineLevel="0" collapsed="false">
      <c r="A44" s="14" t="s">
        <v>276</v>
      </c>
      <c r="B44" s="14" t="s">
        <v>277</v>
      </c>
      <c r="C44" s="14" t="s">
        <v>251</v>
      </c>
      <c r="D44" s="14"/>
      <c r="E44" s="14" t="s">
        <v>6</v>
      </c>
      <c r="F44" s="14" t="s">
        <v>278</v>
      </c>
      <c r="G44" s="15" t="s">
        <v>279</v>
      </c>
      <c r="H44" s="14" t="s">
        <v>280</v>
      </c>
      <c r="I44" s="14" t="s">
        <v>145</v>
      </c>
      <c r="J44" s="14" t="s">
        <v>145</v>
      </c>
      <c r="K44" s="14" t="s">
        <v>73</v>
      </c>
      <c r="L44" s="15" t="s">
        <v>74</v>
      </c>
      <c r="M44" s="14" t="s">
        <v>281</v>
      </c>
      <c r="N44" s="16" t="s">
        <v>282</v>
      </c>
      <c r="O44" s="15"/>
      <c r="P44" s="15"/>
      <c r="Q44" s="15" t="n">
        <f aca="false">IFERROR(VLOOKUP(J44,Parametros!$A$5:$B$9,2,FALSE()),0)</f>
        <v>1</v>
      </c>
      <c r="R44" s="15" t="n">
        <f aca="false">IFERROR(VLOOKUP(H44,Parametros!$D$5:$E$16,2,FALSE()),1)</f>
        <v>3</v>
      </c>
      <c r="S44" s="15" t="n">
        <f aca="false">IF(OR(N(O44)&gt;=Parametros!$H$9,AND(N(P44)&gt;0,N(P44)&lt;=Parametros!$H$10)),1,0)</f>
        <v>0</v>
      </c>
      <c r="T44" s="15" t="n">
        <f aca="false">Q44+R44+S44</f>
        <v>4</v>
      </c>
      <c r="U44" s="15" t="str">
        <f aca="false">IF(OR(V44="Inactive",V44="No encontrada"),"Descartada",IF(AND(T44&gt;=Parametros!$H$5,S44=1),"A",IF(T44&gt;=Parametros!$H$6,"B","C")))</f>
        <v>B</v>
      </c>
      <c r="V44" s="17" t="s">
        <v>66</v>
      </c>
      <c r="W44" s="17"/>
    </row>
    <row r="45" customFormat="false" ht="15" hidden="false" customHeight="false" outlineLevel="0" collapsed="false">
      <c r="A45" s="14" t="s">
        <v>283</v>
      </c>
      <c r="B45" s="14" t="s">
        <v>284</v>
      </c>
      <c r="C45" s="14" t="s">
        <v>251</v>
      </c>
      <c r="D45" s="14"/>
      <c r="E45" s="14" t="s">
        <v>6</v>
      </c>
      <c r="F45" s="14" t="s">
        <v>278</v>
      </c>
      <c r="G45" s="15" t="s">
        <v>279</v>
      </c>
      <c r="H45" s="14" t="s">
        <v>280</v>
      </c>
      <c r="I45" s="14" t="s">
        <v>145</v>
      </c>
      <c r="J45" s="14" t="s">
        <v>145</v>
      </c>
      <c r="K45" s="14" t="s">
        <v>73</v>
      </c>
      <c r="L45" s="15" t="s">
        <v>74</v>
      </c>
      <c r="M45" s="14" t="s">
        <v>281</v>
      </c>
      <c r="N45" s="16" t="s">
        <v>285</v>
      </c>
      <c r="O45" s="15"/>
      <c r="P45" s="15"/>
      <c r="Q45" s="15" t="n">
        <f aca="false">IFERROR(VLOOKUP(J45,Parametros!$A$5:$B$9,2,FALSE()),0)</f>
        <v>1</v>
      </c>
      <c r="R45" s="15" t="n">
        <f aca="false">IFERROR(VLOOKUP(H45,Parametros!$D$5:$E$16,2,FALSE()),1)</f>
        <v>3</v>
      </c>
      <c r="S45" s="15" t="n">
        <f aca="false">IF(OR(N(O45)&gt;=Parametros!$H$9,AND(N(P45)&gt;0,N(P45)&lt;=Parametros!$H$10)),1,0)</f>
        <v>0</v>
      </c>
      <c r="T45" s="15" t="n">
        <f aca="false">Q45+R45+S45</f>
        <v>4</v>
      </c>
      <c r="U45" s="15" t="str">
        <f aca="false">IF(OR(V45="Inactive",V45="No encontrada"),"Descartada",IF(AND(T45&gt;=Parametros!$H$5,S45=1),"A",IF(T45&gt;=Parametros!$H$6,"B","C")))</f>
        <v>B</v>
      </c>
      <c r="V45" s="17" t="s">
        <v>66</v>
      </c>
      <c r="W45" s="17"/>
    </row>
    <row r="46" customFormat="false" ht="15" hidden="false" customHeight="false" outlineLevel="0" collapsed="false">
      <c r="A46" s="14" t="s">
        <v>286</v>
      </c>
      <c r="B46" s="14" t="s">
        <v>287</v>
      </c>
      <c r="C46" s="14" t="s">
        <v>288</v>
      </c>
      <c r="D46" s="14" t="s">
        <v>289</v>
      </c>
      <c r="E46" s="14" t="s">
        <v>6</v>
      </c>
      <c r="F46" s="14" t="s">
        <v>290</v>
      </c>
      <c r="G46" s="15" t="s">
        <v>85</v>
      </c>
      <c r="H46" s="14" t="s">
        <v>86</v>
      </c>
      <c r="I46" s="14" t="s">
        <v>61</v>
      </c>
      <c r="J46" s="14" t="s">
        <v>140</v>
      </c>
      <c r="K46" s="14" t="s">
        <v>158</v>
      </c>
      <c r="L46" s="15" t="s">
        <v>74</v>
      </c>
      <c r="M46" s="14" t="s">
        <v>291</v>
      </c>
      <c r="N46" s="16" t="s">
        <v>292</v>
      </c>
      <c r="O46" s="15"/>
      <c r="P46" s="15" t="n">
        <v>1990</v>
      </c>
      <c r="Q46" s="15" t="n">
        <f aca="false">IFERROR(VLOOKUP(J46,Parametros!$A$5:$B$9,2,FALSE()),0)</f>
        <v>1</v>
      </c>
      <c r="R46" s="15" t="n">
        <f aca="false">IFERROR(VLOOKUP(H46,Parametros!$D$5:$E$16,2,FALSE()),1)</f>
        <v>2</v>
      </c>
      <c r="S46" s="15" t="n">
        <f aca="false">IF(OR(N(O46)&gt;=Parametros!$H$9,AND(N(P46)&gt;0,N(P46)&lt;=Parametros!$H$10)),1,0)</f>
        <v>1</v>
      </c>
      <c r="T46" s="15" t="n">
        <f aca="false">Q46+R46+S46</f>
        <v>4</v>
      </c>
      <c r="U46" s="15" t="str">
        <f aca="false">IF(OR(V46="Inactive",V46="No encontrada"),"Descartada",IF(AND(T46&gt;=Parametros!$H$5,S46=1),"A",IF(T46&gt;=Parametros!$H$6,"B","C")))</f>
        <v>B</v>
      </c>
      <c r="V46" s="17" t="s">
        <v>66</v>
      </c>
      <c r="W46" s="17"/>
    </row>
    <row r="47" customFormat="false" ht="15" hidden="false" customHeight="false" outlineLevel="0" collapsed="false">
      <c r="A47" s="14" t="s">
        <v>293</v>
      </c>
      <c r="B47" s="14" t="s">
        <v>294</v>
      </c>
      <c r="C47" s="14" t="s">
        <v>288</v>
      </c>
      <c r="D47" s="14" t="s">
        <v>289</v>
      </c>
      <c r="E47" s="14" t="s">
        <v>6</v>
      </c>
      <c r="F47" s="14" t="s">
        <v>172</v>
      </c>
      <c r="G47" s="15" t="s">
        <v>85</v>
      </c>
      <c r="H47" s="14" t="s">
        <v>86</v>
      </c>
      <c r="I47" s="14" t="s">
        <v>145</v>
      </c>
      <c r="J47" s="14" t="s">
        <v>145</v>
      </c>
      <c r="K47" s="14" t="s">
        <v>118</v>
      </c>
      <c r="L47" s="15" t="s">
        <v>74</v>
      </c>
      <c r="M47" s="14" t="s">
        <v>228</v>
      </c>
      <c r="N47" s="16" t="s">
        <v>295</v>
      </c>
      <c r="O47" s="15"/>
      <c r="P47" s="15"/>
      <c r="Q47" s="15" t="n">
        <f aca="false">IFERROR(VLOOKUP(J47,Parametros!$A$5:$B$9,2,FALSE()),0)</f>
        <v>1</v>
      </c>
      <c r="R47" s="15" t="n">
        <f aca="false">IFERROR(VLOOKUP(H47,Parametros!$D$5:$E$16,2,FALSE()),1)</f>
        <v>2</v>
      </c>
      <c r="S47" s="15" t="n">
        <f aca="false">IF(OR(N(O47)&gt;=Parametros!$H$9,AND(N(P47)&gt;0,N(P47)&lt;=Parametros!$H$10)),1,0)</f>
        <v>0</v>
      </c>
      <c r="T47" s="15" t="n">
        <f aca="false">Q47+R47+S47</f>
        <v>3</v>
      </c>
      <c r="U47" s="15" t="str">
        <f aca="false">IF(OR(V47="Inactive",V47="No encontrada"),"Descartada",IF(AND(T47&gt;=Parametros!$H$5,S47=1),"A",IF(T47&gt;=Parametros!$H$6,"B","C")))</f>
        <v>C</v>
      </c>
      <c r="V47" s="17" t="s">
        <v>66</v>
      </c>
      <c r="W47" s="17"/>
    </row>
    <row r="48" customFormat="false" ht="15" hidden="false" customHeight="false" outlineLevel="0" collapsed="false">
      <c r="A48" s="14" t="s">
        <v>296</v>
      </c>
      <c r="B48" s="14" t="s">
        <v>297</v>
      </c>
      <c r="C48" s="14" t="s">
        <v>288</v>
      </c>
      <c r="D48" s="14" t="s">
        <v>289</v>
      </c>
      <c r="E48" s="14" t="s">
        <v>6</v>
      </c>
      <c r="F48" s="14" t="s">
        <v>290</v>
      </c>
      <c r="G48" s="15" t="s">
        <v>85</v>
      </c>
      <c r="H48" s="14" t="s">
        <v>86</v>
      </c>
      <c r="I48" s="14" t="s">
        <v>61</v>
      </c>
      <c r="J48" s="14" t="s">
        <v>140</v>
      </c>
      <c r="K48" s="14" t="s">
        <v>62</v>
      </c>
      <c r="L48" s="15" t="s">
        <v>63</v>
      </c>
      <c r="M48" s="14" t="s">
        <v>298</v>
      </c>
      <c r="N48" s="16" t="s">
        <v>299</v>
      </c>
      <c r="O48" s="15"/>
      <c r="P48" s="15"/>
      <c r="Q48" s="15" t="n">
        <f aca="false">IFERROR(VLOOKUP(J48,Parametros!$A$5:$B$9,2,FALSE()),0)</f>
        <v>1</v>
      </c>
      <c r="R48" s="15" t="n">
        <f aca="false">IFERROR(VLOOKUP(H48,Parametros!$D$5:$E$16,2,FALSE()),1)</f>
        <v>2</v>
      </c>
      <c r="S48" s="15" t="n">
        <f aca="false">IF(OR(N(O48)&gt;=Parametros!$H$9,AND(N(P48)&gt;0,N(P48)&lt;=Parametros!$H$10)),1,0)</f>
        <v>0</v>
      </c>
      <c r="T48" s="15" t="n">
        <f aca="false">Q48+R48+S48</f>
        <v>3</v>
      </c>
      <c r="U48" s="15" t="str">
        <f aca="false">IF(OR(V48="Inactive",V48="No encontrada"),"Descartada",IF(AND(T48&gt;=Parametros!$H$5,S48=1),"A",IF(T48&gt;=Parametros!$H$6,"B","C")))</f>
        <v>C</v>
      </c>
      <c r="V48" s="17" t="s">
        <v>66</v>
      </c>
      <c r="W48" s="17"/>
    </row>
    <row r="49" customFormat="false" ht="15" hidden="false" customHeight="false" outlineLevel="0" collapsed="false">
      <c r="A49" s="14" t="s">
        <v>300</v>
      </c>
      <c r="B49" s="14" t="s">
        <v>301</v>
      </c>
      <c r="C49" s="14" t="s">
        <v>288</v>
      </c>
      <c r="D49" s="14" t="s">
        <v>289</v>
      </c>
      <c r="E49" s="14" t="s">
        <v>6</v>
      </c>
      <c r="F49" s="14" t="s">
        <v>302</v>
      </c>
      <c r="G49" s="15" t="s">
        <v>85</v>
      </c>
      <c r="H49" s="14" t="s">
        <v>86</v>
      </c>
      <c r="I49" s="14" t="s">
        <v>61</v>
      </c>
      <c r="J49" s="14" t="s">
        <v>140</v>
      </c>
      <c r="K49" s="14" t="s">
        <v>177</v>
      </c>
      <c r="L49" s="15" t="s">
        <v>74</v>
      </c>
      <c r="M49" s="14" t="s">
        <v>303</v>
      </c>
      <c r="N49" s="16" t="s">
        <v>304</v>
      </c>
      <c r="O49" s="15"/>
      <c r="P49" s="15" t="n">
        <v>1997</v>
      </c>
      <c r="Q49" s="15" t="n">
        <f aca="false">IFERROR(VLOOKUP(J49,Parametros!$A$5:$B$9,2,FALSE()),0)</f>
        <v>1</v>
      </c>
      <c r="R49" s="15" t="n">
        <f aca="false">IFERROR(VLOOKUP(H49,Parametros!$D$5:$E$16,2,FALSE()),1)</f>
        <v>2</v>
      </c>
      <c r="S49" s="15" t="n">
        <f aca="false">IF(OR(N(O49)&gt;=Parametros!$H$9,AND(N(P49)&gt;0,N(P49)&lt;=Parametros!$H$10)),1,0)</f>
        <v>1</v>
      </c>
      <c r="T49" s="15" t="n">
        <f aca="false">Q49+R49+S49</f>
        <v>4</v>
      </c>
      <c r="U49" s="15" t="str">
        <f aca="false">IF(OR(V49="Inactive",V49="No encontrada"),"Descartada",IF(AND(T49&gt;=Parametros!$H$5,S49=1),"A",IF(T49&gt;=Parametros!$H$6,"B","C")))</f>
        <v>B</v>
      </c>
      <c r="V49" s="17" t="s">
        <v>66</v>
      </c>
      <c r="W49" s="17"/>
    </row>
    <row r="50" customFormat="false" ht="15" hidden="false" customHeight="false" outlineLevel="0" collapsed="false">
      <c r="A50" s="14" t="s">
        <v>305</v>
      </c>
      <c r="B50" s="14" t="s">
        <v>306</v>
      </c>
      <c r="C50" s="14" t="s">
        <v>288</v>
      </c>
      <c r="D50" s="14" t="s">
        <v>307</v>
      </c>
      <c r="E50" s="14" t="s">
        <v>6</v>
      </c>
      <c r="F50" s="14" t="s">
        <v>308</v>
      </c>
      <c r="G50" s="15" t="s">
        <v>309</v>
      </c>
      <c r="H50" s="14" t="s">
        <v>310</v>
      </c>
      <c r="I50" s="14" t="s">
        <v>145</v>
      </c>
      <c r="J50" s="14" t="s">
        <v>140</v>
      </c>
      <c r="K50" s="14" t="s">
        <v>73</v>
      </c>
      <c r="L50" s="15" t="s">
        <v>74</v>
      </c>
      <c r="M50" s="14" t="s">
        <v>311</v>
      </c>
      <c r="N50" s="16" t="s">
        <v>312</v>
      </c>
      <c r="O50" s="15"/>
      <c r="P50" s="15" t="n">
        <v>1982</v>
      </c>
      <c r="Q50" s="15" t="n">
        <f aca="false">IFERROR(VLOOKUP(J50,Parametros!$A$5:$B$9,2,FALSE()),0)</f>
        <v>1</v>
      </c>
      <c r="R50" s="15" t="n">
        <f aca="false">IFERROR(VLOOKUP(H50,Parametros!$D$5:$E$16,2,FALSE()),1)</f>
        <v>1</v>
      </c>
      <c r="S50" s="15" t="n">
        <f aca="false">IF(OR(N(O50)&gt;=Parametros!$H$9,AND(N(P50)&gt;0,N(P50)&lt;=Parametros!$H$10)),1,0)</f>
        <v>1</v>
      </c>
      <c r="T50" s="15" t="n">
        <f aca="false">Q50+R50+S50</f>
        <v>3</v>
      </c>
      <c r="U50" s="15" t="str">
        <f aca="false">IF(OR(V50="Inactive",V50="No encontrada"),"Descartada",IF(AND(T50&gt;=Parametros!$H$5,S50=1),"A",IF(T50&gt;=Parametros!$H$6,"B","C")))</f>
        <v>C</v>
      </c>
      <c r="V50" s="17" t="s">
        <v>66</v>
      </c>
      <c r="W50" s="17"/>
    </row>
    <row r="51" customFormat="false" ht="15" hidden="false" customHeight="false" outlineLevel="0" collapsed="false">
      <c r="A51" s="14" t="s">
        <v>313</v>
      </c>
      <c r="B51" s="14" t="s">
        <v>314</v>
      </c>
      <c r="C51" s="14" t="s">
        <v>288</v>
      </c>
      <c r="D51" s="14" t="s">
        <v>307</v>
      </c>
      <c r="E51" s="14" t="s">
        <v>6</v>
      </c>
      <c r="F51" s="14" t="s">
        <v>308</v>
      </c>
      <c r="G51" s="15" t="s">
        <v>309</v>
      </c>
      <c r="H51" s="14" t="s">
        <v>310</v>
      </c>
      <c r="I51" s="14" t="s">
        <v>145</v>
      </c>
      <c r="J51" s="14" t="s">
        <v>145</v>
      </c>
      <c r="K51" s="14" t="s">
        <v>62</v>
      </c>
      <c r="L51" s="15" t="s">
        <v>63</v>
      </c>
      <c r="M51" s="14" t="s">
        <v>315</v>
      </c>
      <c r="N51" s="16" t="s">
        <v>316</v>
      </c>
      <c r="O51" s="15"/>
      <c r="P51" s="15" t="n">
        <v>1974</v>
      </c>
      <c r="Q51" s="15" t="n">
        <f aca="false">IFERROR(VLOOKUP(J51,Parametros!$A$5:$B$9,2,FALSE()),0)</f>
        <v>1</v>
      </c>
      <c r="R51" s="15" t="n">
        <f aca="false">IFERROR(VLOOKUP(H51,Parametros!$D$5:$E$16,2,FALSE()),1)</f>
        <v>1</v>
      </c>
      <c r="S51" s="15" t="n">
        <f aca="false">IF(OR(N(O51)&gt;=Parametros!$H$9,AND(N(P51)&gt;0,N(P51)&lt;=Parametros!$H$10)),1,0)</f>
        <v>1</v>
      </c>
      <c r="T51" s="15" t="n">
        <f aca="false">Q51+R51+S51</f>
        <v>3</v>
      </c>
      <c r="U51" s="15" t="str">
        <f aca="false">IF(OR(V51="Inactive",V51="No encontrada"),"Descartada",IF(AND(T51&gt;=Parametros!$H$5,S51=1),"A",IF(T51&gt;=Parametros!$H$6,"B","C")))</f>
        <v>C</v>
      </c>
      <c r="V51" s="17" t="s">
        <v>66</v>
      </c>
      <c r="W51" s="17"/>
    </row>
    <row r="52" customFormat="false" ht="15" hidden="false" customHeight="false" outlineLevel="0" collapsed="false">
      <c r="A52" s="14" t="s">
        <v>317</v>
      </c>
      <c r="B52" s="14" t="s">
        <v>318</v>
      </c>
      <c r="C52" s="14" t="s">
        <v>319</v>
      </c>
      <c r="D52" s="14"/>
      <c r="E52" s="14" t="s">
        <v>6</v>
      </c>
      <c r="F52" s="14" t="s">
        <v>320</v>
      </c>
      <c r="G52" s="15" t="s">
        <v>95</v>
      </c>
      <c r="H52" s="14" t="s">
        <v>96</v>
      </c>
      <c r="I52" s="14" t="s">
        <v>61</v>
      </c>
      <c r="J52" s="14" t="s">
        <v>140</v>
      </c>
      <c r="K52" s="14" t="s">
        <v>257</v>
      </c>
      <c r="L52" s="15" t="s">
        <v>74</v>
      </c>
      <c r="M52" s="14" t="s">
        <v>321</v>
      </c>
      <c r="N52" s="16" t="s">
        <v>322</v>
      </c>
      <c r="O52" s="15"/>
      <c r="P52" s="15" t="n">
        <v>1988</v>
      </c>
      <c r="Q52" s="15" t="n">
        <f aca="false">IFERROR(VLOOKUP(J52,Parametros!$A$5:$B$9,2,FALSE()),0)</f>
        <v>1</v>
      </c>
      <c r="R52" s="15" t="n">
        <f aca="false">IFERROR(VLOOKUP(H52,Parametros!$D$5:$E$16,2,FALSE()),1)</f>
        <v>3</v>
      </c>
      <c r="S52" s="15" t="n">
        <f aca="false">IF(OR(N(O52)&gt;=Parametros!$H$9,AND(N(P52)&gt;0,N(P52)&lt;=Parametros!$H$10)),1,0)</f>
        <v>1</v>
      </c>
      <c r="T52" s="15" t="n">
        <f aca="false">Q52+R52+S52</f>
        <v>5</v>
      </c>
      <c r="U52" s="15" t="str">
        <f aca="false">IF(OR(V52="Inactive",V52="No encontrada"),"Descartada",IF(AND(T52&gt;=Parametros!$H$5,S52=1),"A",IF(T52&gt;=Parametros!$H$6,"B","C")))</f>
        <v>B</v>
      </c>
      <c r="V52" s="17" t="s">
        <v>66</v>
      </c>
      <c r="W52" s="17"/>
    </row>
    <row r="53" customFormat="false" ht="15" hidden="false" customHeight="false" outlineLevel="0" collapsed="false">
      <c r="A53" s="14" t="s">
        <v>323</v>
      </c>
      <c r="B53" s="14" t="s">
        <v>324</v>
      </c>
      <c r="C53" s="14" t="s">
        <v>319</v>
      </c>
      <c r="D53" s="14"/>
      <c r="E53" s="14" t="s">
        <v>6</v>
      </c>
      <c r="F53" s="14" t="s">
        <v>325</v>
      </c>
      <c r="G53" s="15" t="s">
        <v>279</v>
      </c>
      <c r="H53" s="14" t="s">
        <v>280</v>
      </c>
      <c r="I53" s="14" t="s">
        <v>61</v>
      </c>
      <c r="J53" s="14" t="s">
        <v>145</v>
      </c>
      <c r="K53" s="14" t="s">
        <v>62</v>
      </c>
      <c r="L53" s="15" t="s">
        <v>63</v>
      </c>
      <c r="M53" s="14" t="s">
        <v>326</v>
      </c>
      <c r="N53" s="16" t="s">
        <v>327</v>
      </c>
      <c r="O53" s="15"/>
      <c r="P53" s="15"/>
      <c r="Q53" s="15" t="n">
        <f aca="false">IFERROR(VLOOKUP(J53,Parametros!$A$5:$B$9,2,FALSE()),0)</f>
        <v>1</v>
      </c>
      <c r="R53" s="15" t="n">
        <f aca="false">IFERROR(VLOOKUP(H53,Parametros!$D$5:$E$16,2,FALSE()),1)</f>
        <v>3</v>
      </c>
      <c r="S53" s="15" t="n">
        <f aca="false">IF(OR(N(O53)&gt;=Parametros!$H$9,AND(N(P53)&gt;0,N(P53)&lt;=Parametros!$H$10)),1,0)</f>
        <v>0</v>
      </c>
      <c r="T53" s="15" t="n">
        <f aca="false">Q53+R53+S53</f>
        <v>4</v>
      </c>
      <c r="U53" s="15" t="str">
        <f aca="false">IF(OR(V53="Inactive",V53="No encontrada"),"Descartada",IF(AND(T53&gt;=Parametros!$H$5,S53=1),"A",IF(T53&gt;=Parametros!$H$6,"B","C")))</f>
        <v>B</v>
      </c>
      <c r="V53" s="17" t="s">
        <v>66</v>
      </c>
      <c r="W53" s="17"/>
    </row>
    <row r="54" customFormat="false" ht="15" hidden="false" customHeight="false" outlineLevel="0" collapsed="false">
      <c r="A54" s="14" t="s">
        <v>328</v>
      </c>
      <c r="B54" s="14" t="s">
        <v>329</v>
      </c>
      <c r="C54" s="14" t="s">
        <v>319</v>
      </c>
      <c r="D54" s="14"/>
      <c r="E54" s="14" t="s">
        <v>6</v>
      </c>
      <c r="F54" s="14" t="s">
        <v>325</v>
      </c>
      <c r="G54" s="15" t="s">
        <v>279</v>
      </c>
      <c r="H54" s="14" t="s">
        <v>280</v>
      </c>
      <c r="I54" s="14" t="s">
        <v>61</v>
      </c>
      <c r="J54" s="14" t="s">
        <v>145</v>
      </c>
      <c r="K54" s="14" t="s">
        <v>62</v>
      </c>
      <c r="L54" s="15" t="s">
        <v>63</v>
      </c>
      <c r="M54" s="14" t="s">
        <v>326</v>
      </c>
      <c r="N54" s="16" t="s">
        <v>330</v>
      </c>
      <c r="O54" s="15"/>
      <c r="P54" s="15"/>
      <c r="Q54" s="15" t="n">
        <f aca="false">IFERROR(VLOOKUP(J54,Parametros!$A$5:$B$9,2,FALSE()),0)</f>
        <v>1</v>
      </c>
      <c r="R54" s="15" t="n">
        <f aca="false">IFERROR(VLOOKUP(H54,Parametros!$D$5:$E$16,2,FALSE()),1)</f>
        <v>3</v>
      </c>
      <c r="S54" s="15" t="n">
        <f aca="false">IF(OR(N(O54)&gt;=Parametros!$H$9,AND(N(P54)&gt;0,N(P54)&lt;=Parametros!$H$10)),1,0)</f>
        <v>0</v>
      </c>
      <c r="T54" s="15" t="n">
        <f aca="false">Q54+R54+S54</f>
        <v>4</v>
      </c>
      <c r="U54" s="15" t="str">
        <f aca="false">IF(OR(V54="Inactive",V54="No encontrada"),"Descartada",IF(AND(T54&gt;=Parametros!$H$5,S54=1),"A",IF(T54&gt;=Parametros!$H$6,"B","C")))</f>
        <v>B</v>
      </c>
      <c r="V54" s="17" t="s">
        <v>66</v>
      </c>
      <c r="W54" s="17"/>
    </row>
    <row r="55" customFormat="false" ht="15" hidden="false" customHeight="false" outlineLevel="0" collapsed="false">
      <c r="A55" s="14" t="s">
        <v>331</v>
      </c>
      <c r="B55" s="14" t="s">
        <v>332</v>
      </c>
      <c r="C55" s="14" t="s">
        <v>93</v>
      </c>
      <c r="D55" s="14"/>
      <c r="E55" s="14" t="s">
        <v>6</v>
      </c>
      <c r="F55" s="14" t="s">
        <v>333</v>
      </c>
      <c r="G55" s="15" t="s">
        <v>151</v>
      </c>
      <c r="H55" s="14" t="s">
        <v>152</v>
      </c>
      <c r="I55" s="14" t="s">
        <v>61</v>
      </c>
      <c r="J55" s="14" t="s">
        <v>140</v>
      </c>
      <c r="K55" s="14" t="s">
        <v>334</v>
      </c>
      <c r="L55" s="15" t="s">
        <v>74</v>
      </c>
      <c r="M55" s="14" t="s">
        <v>335</v>
      </c>
      <c r="N55" s="16" t="s">
        <v>336</v>
      </c>
      <c r="O55" s="15"/>
      <c r="P55" s="15" t="n">
        <v>1992</v>
      </c>
      <c r="Q55" s="15" t="n">
        <f aca="false">IFERROR(VLOOKUP(J55,Parametros!$A$5:$B$9,2,FALSE()),0)</f>
        <v>1</v>
      </c>
      <c r="R55" s="15" t="n">
        <f aca="false">IFERROR(VLOOKUP(H55,Parametros!$D$5:$E$16,2,FALSE()),1)</f>
        <v>2</v>
      </c>
      <c r="S55" s="15" t="n">
        <f aca="false">IF(OR(N(O55)&gt;=Parametros!$H$9,AND(N(P55)&gt;0,N(P55)&lt;=Parametros!$H$10)),1,0)</f>
        <v>1</v>
      </c>
      <c r="T55" s="15" t="n">
        <f aca="false">Q55+R55+S55</f>
        <v>4</v>
      </c>
      <c r="U55" s="15" t="str">
        <f aca="false">IF(OR(V55="Inactive",V55="No encontrada"),"Descartada",IF(AND(T55&gt;=Parametros!$H$5,S55=1),"A",IF(T55&gt;=Parametros!$H$6,"B","C")))</f>
        <v>B</v>
      </c>
      <c r="V55" s="17" t="s">
        <v>66</v>
      </c>
      <c r="W55" s="17"/>
    </row>
    <row r="56" customFormat="false" ht="15" hidden="false" customHeight="false" outlineLevel="0" collapsed="false">
      <c r="A56" s="14" t="s">
        <v>337</v>
      </c>
      <c r="B56" s="14" t="s">
        <v>338</v>
      </c>
      <c r="C56" s="14" t="s">
        <v>93</v>
      </c>
      <c r="D56" s="14"/>
      <c r="E56" s="14" t="s">
        <v>6</v>
      </c>
      <c r="F56" s="14" t="s">
        <v>339</v>
      </c>
      <c r="G56" s="15" t="s">
        <v>340</v>
      </c>
      <c r="H56" s="14" t="s">
        <v>341</v>
      </c>
      <c r="I56" s="14" t="s">
        <v>61</v>
      </c>
      <c r="J56" s="14" t="s">
        <v>140</v>
      </c>
      <c r="K56" s="14" t="s">
        <v>194</v>
      </c>
      <c r="L56" s="15" t="s">
        <v>74</v>
      </c>
      <c r="M56" s="14" t="s">
        <v>342</v>
      </c>
      <c r="N56" s="16" t="s">
        <v>343</v>
      </c>
      <c r="O56" s="15"/>
      <c r="P56" s="15" t="n">
        <v>1997</v>
      </c>
      <c r="Q56" s="15" t="n">
        <f aca="false">IFERROR(VLOOKUP(J56,Parametros!$A$5:$B$9,2,FALSE()),0)</f>
        <v>1</v>
      </c>
      <c r="R56" s="15" t="n">
        <f aca="false">IFERROR(VLOOKUP(H56,Parametros!$D$5:$E$16,2,FALSE()),1)</f>
        <v>1</v>
      </c>
      <c r="S56" s="15" t="n">
        <f aca="false">IF(OR(N(O56)&gt;=Parametros!$H$9,AND(N(P56)&gt;0,N(P56)&lt;=Parametros!$H$10)),1,0)</f>
        <v>1</v>
      </c>
      <c r="T56" s="15" t="n">
        <f aca="false">Q56+R56+S56</f>
        <v>3</v>
      </c>
      <c r="U56" s="15" t="str">
        <f aca="false">IF(OR(V56="Inactive",V56="No encontrada"),"Descartada",IF(AND(T56&gt;=Parametros!$H$5,S56=1),"A",IF(T56&gt;=Parametros!$H$6,"B","C")))</f>
        <v>C</v>
      </c>
      <c r="V56" s="17" t="s">
        <v>66</v>
      </c>
      <c r="W56" s="17"/>
    </row>
    <row r="57" customFormat="false" ht="15" hidden="false" customHeight="false" outlineLevel="0" collapsed="false">
      <c r="A57" s="14" t="s">
        <v>344</v>
      </c>
      <c r="B57" s="14" t="s">
        <v>345</v>
      </c>
      <c r="C57" s="14" t="s">
        <v>93</v>
      </c>
      <c r="D57" s="14"/>
      <c r="E57" s="14" t="s">
        <v>6</v>
      </c>
      <c r="F57" s="14" t="s">
        <v>339</v>
      </c>
      <c r="G57" s="15" t="s">
        <v>340</v>
      </c>
      <c r="H57" s="14" t="s">
        <v>341</v>
      </c>
      <c r="I57" s="14" t="s">
        <v>145</v>
      </c>
      <c r="J57" s="14" t="s">
        <v>145</v>
      </c>
      <c r="K57" s="14" t="s">
        <v>62</v>
      </c>
      <c r="L57" s="15" t="s">
        <v>63</v>
      </c>
      <c r="M57" s="14" t="s">
        <v>346</v>
      </c>
      <c r="N57" s="16" t="s">
        <v>347</v>
      </c>
      <c r="O57" s="15"/>
      <c r="P57" s="15"/>
      <c r="Q57" s="15" t="n">
        <f aca="false">IFERROR(VLOOKUP(J57,Parametros!$A$5:$B$9,2,FALSE()),0)</f>
        <v>1</v>
      </c>
      <c r="R57" s="15" t="n">
        <f aca="false">IFERROR(VLOOKUP(H57,Parametros!$D$5:$E$16,2,FALSE()),1)</f>
        <v>1</v>
      </c>
      <c r="S57" s="15" t="n">
        <f aca="false">IF(OR(N(O57)&gt;=Parametros!$H$9,AND(N(P57)&gt;0,N(P57)&lt;=Parametros!$H$10)),1,0)</f>
        <v>0</v>
      </c>
      <c r="T57" s="15" t="n">
        <f aca="false">Q57+R57+S57</f>
        <v>2</v>
      </c>
      <c r="U57" s="15" t="str">
        <f aca="false">IF(OR(V57="Inactive",V57="No encontrada"),"Descartada",IF(AND(T57&gt;=Parametros!$H$5,S57=1),"A",IF(T57&gt;=Parametros!$H$6,"B","C")))</f>
        <v>C</v>
      </c>
      <c r="V57" s="17" t="s">
        <v>66</v>
      </c>
      <c r="W57" s="17"/>
    </row>
    <row r="58" customFormat="false" ht="15" hidden="false" customHeight="false" outlineLevel="0" collapsed="false">
      <c r="A58" s="14" t="s">
        <v>348</v>
      </c>
      <c r="B58" s="14" t="s">
        <v>349</v>
      </c>
      <c r="C58" s="14" t="s">
        <v>93</v>
      </c>
      <c r="D58" s="14"/>
      <c r="E58" s="14" t="s">
        <v>6</v>
      </c>
      <c r="F58" s="14" t="s">
        <v>339</v>
      </c>
      <c r="G58" s="15" t="s">
        <v>340</v>
      </c>
      <c r="H58" s="14" t="s">
        <v>341</v>
      </c>
      <c r="I58" s="14" t="s">
        <v>61</v>
      </c>
      <c r="J58" s="14" t="s">
        <v>145</v>
      </c>
      <c r="K58" s="14" t="s">
        <v>62</v>
      </c>
      <c r="L58" s="15" t="s">
        <v>63</v>
      </c>
      <c r="M58" s="14" t="s">
        <v>350</v>
      </c>
      <c r="N58" s="16" t="s">
        <v>351</v>
      </c>
      <c r="O58" s="15"/>
      <c r="P58" s="15"/>
      <c r="Q58" s="15" t="n">
        <f aca="false">IFERROR(VLOOKUP(J58,Parametros!$A$5:$B$9,2,FALSE()),0)</f>
        <v>1</v>
      </c>
      <c r="R58" s="15" t="n">
        <f aca="false">IFERROR(VLOOKUP(H58,Parametros!$D$5:$E$16,2,FALSE()),1)</f>
        <v>1</v>
      </c>
      <c r="S58" s="15" t="n">
        <f aca="false">IF(OR(N(O58)&gt;=Parametros!$H$9,AND(N(P58)&gt;0,N(P58)&lt;=Parametros!$H$10)),1,0)</f>
        <v>0</v>
      </c>
      <c r="T58" s="15" t="n">
        <f aca="false">Q58+R58+S58</f>
        <v>2</v>
      </c>
      <c r="U58" s="15" t="str">
        <f aca="false">IF(OR(V58="Inactive",V58="No encontrada"),"Descartada",IF(AND(T58&gt;=Parametros!$H$5,S58=1),"A",IF(T58&gt;=Parametros!$H$6,"B","C")))</f>
        <v>C</v>
      </c>
      <c r="V58" s="17" t="s">
        <v>66</v>
      </c>
      <c r="W58" s="17"/>
    </row>
    <row r="59" customFormat="false" ht="15" hidden="false" customHeight="false" outlineLevel="0" collapsed="false">
      <c r="A59" s="14" t="s">
        <v>352</v>
      </c>
      <c r="B59" s="14" t="s">
        <v>353</v>
      </c>
      <c r="C59" s="14" t="s">
        <v>93</v>
      </c>
      <c r="D59" s="14"/>
      <c r="E59" s="14" t="s">
        <v>6</v>
      </c>
      <c r="F59" s="14" t="s">
        <v>339</v>
      </c>
      <c r="G59" s="15" t="s">
        <v>340</v>
      </c>
      <c r="H59" s="14" t="s">
        <v>341</v>
      </c>
      <c r="I59" s="14" t="s">
        <v>61</v>
      </c>
      <c r="J59" s="14" t="s">
        <v>145</v>
      </c>
      <c r="K59" s="14" t="s">
        <v>62</v>
      </c>
      <c r="L59" s="15" t="s">
        <v>63</v>
      </c>
      <c r="M59" s="14" t="s">
        <v>350</v>
      </c>
      <c r="N59" s="16" t="s">
        <v>351</v>
      </c>
      <c r="O59" s="15"/>
      <c r="P59" s="15"/>
      <c r="Q59" s="15" t="n">
        <f aca="false">IFERROR(VLOOKUP(J59,Parametros!$A$5:$B$9,2,FALSE()),0)</f>
        <v>1</v>
      </c>
      <c r="R59" s="15" t="n">
        <f aca="false">IFERROR(VLOOKUP(H59,Parametros!$D$5:$E$16,2,FALSE()),1)</f>
        <v>1</v>
      </c>
      <c r="S59" s="15" t="n">
        <f aca="false">IF(OR(N(O59)&gt;=Parametros!$H$9,AND(N(P59)&gt;0,N(P59)&lt;=Parametros!$H$10)),1,0)</f>
        <v>0</v>
      </c>
      <c r="T59" s="15" t="n">
        <f aca="false">Q59+R59+S59</f>
        <v>2</v>
      </c>
      <c r="U59" s="15" t="str">
        <f aca="false">IF(OR(V59="Inactive",V59="No encontrada"),"Descartada",IF(AND(T59&gt;=Parametros!$H$5,S59=1),"A",IF(T59&gt;=Parametros!$H$6,"B","C")))</f>
        <v>C</v>
      </c>
      <c r="V59" s="17" t="s">
        <v>66</v>
      </c>
      <c r="W59" s="17"/>
    </row>
    <row r="60" customFormat="false" ht="15" hidden="false" customHeight="false" outlineLevel="0" collapsed="false">
      <c r="A60" s="14" t="s">
        <v>354</v>
      </c>
      <c r="B60" s="14" t="s">
        <v>355</v>
      </c>
      <c r="C60" s="14" t="s">
        <v>93</v>
      </c>
      <c r="D60" s="14"/>
      <c r="E60" s="14" t="s">
        <v>6</v>
      </c>
      <c r="F60" s="14" t="s">
        <v>339</v>
      </c>
      <c r="G60" s="15" t="s">
        <v>340</v>
      </c>
      <c r="H60" s="14" t="s">
        <v>341</v>
      </c>
      <c r="I60" s="14" t="s">
        <v>145</v>
      </c>
      <c r="J60" s="14" t="s">
        <v>145</v>
      </c>
      <c r="K60" s="14" t="s">
        <v>62</v>
      </c>
      <c r="L60" s="15" t="s">
        <v>63</v>
      </c>
      <c r="M60" s="14" t="s">
        <v>350</v>
      </c>
      <c r="N60" s="16" t="s">
        <v>351</v>
      </c>
      <c r="O60" s="15"/>
      <c r="P60" s="15"/>
      <c r="Q60" s="15" t="n">
        <f aca="false">IFERROR(VLOOKUP(J60,Parametros!$A$5:$B$9,2,FALSE()),0)</f>
        <v>1</v>
      </c>
      <c r="R60" s="15" t="n">
        <f aca="false">IFERROR(VLOOKUP(H60,Parametros!$D$5:$E$16,2,FALSE()),1)</f>
        <v>1</v>
      </c>
      <c r="S60" s="15" t="n">
        <f aca="false">IF(OR(N(O60)&gt;=Parametros!$H$9,AND(N(P60)&gt;0,N(P60)&lt;=Parametros!$H$10)),1,0)</f>
        <v>0</v>
      </c>
      <c r="T60" s="15" t="n">
        <f aca="false">Q60+R60+S60</f>
        <v>2</v>
      </c>
      <c r="U60" s="15" t="str">
        <f aca="false">IF(OR(V60="Inactive",V60="No encontrada"),"Descartada",IF(AND(T60&gt;=Parametros!$H$5,S60=1),"A",IF(T60&gt;=Parametros!$H$6,"B","C")))</f>
        <v>C</v>
      </c>
      <c r="V60" s="17" t="s">
        <v>66</v>
      </c>
      <c r="W60" s="17"/>
    </row>
    <row r="61" customFormat="false" ht="15" hidden="false" customHeight="false" outlineLevel="0" collapsed="false">
      <c r="A61" s="14" t="s">
        <v>356</v>
      </c>
      <c r="B61" s="14" t="s">
        <v>357</v>
      </c>
      <c r="C61" s="14" t="s">
        <v>93</v>
      </c>
      <c r="D61" s="14"/>
      <c r="E61" s="14" t="s">
        <v>6</v>
      </c>
      <c r="F61" s="14" t="s">
        <v>358</v>
      </c>
      <c r="G61" s="15" t="s">
        <v>340</v>
      </c>
      <c r="H61" s="14" t="s">
        <v>341</v>
      </c>
      <c r="I61" s="14" t="s">
        <v>145</v>
      </c>
      <c r="J61" s="14" t="s">
        <v>145</v>
      </c>
      <c r="K61" s="14" t="s">
        <v>62</v>
      </c>
      <c r="L61" s="15" t="s">
        <v>63</v>
      </c>
      <c r="M61" s="14" t="s">
        <v>359</v>
      </c>
      <c r="N61" s="16" t="s">
        <v>360</v>
      </c>
      <c r="O61" s="15"/>
      <c r="P61" s="15" t="n">
        <v>1948</v>
      </c>
      <c r="Q61" s="15" t="n">
        <f aca="false">IFERROR(VLOOKUP(J61,Parametros!$A$5:$B$9,2,FALSE()),0)</f>
        <v>1</v>
      </c>
      <c r="R61" s="15" t="n">
        <f aca="false">IFERROR(VLOOKUP(H61,Parametros!$D$5:$E$16,2,FALSE()),1)</f>
        <v>1</v>
      </c>
      <c r="S61" s="15" t="n">
        <f aca="false">IF(OR(N(O61)&gt;=Parametros!$H$9,AND(N(P61)&gt;0,N(P61)&lt;=Parametros!$H$10)),1,0)</f>
        <v>1</v>
      </c>
      <c r="T61" s="15" t="n">
        <f aca="false">Q61+R61+S61</f>
        <v>3</v>
      </c>
      <c r="U61" s="15" t="str">
        <f aca="false">IF(OR(V61="Inactive",V61="No encontrada"),"Descartada",IF(AND(T61&gt;=Parametros!$H$5,S61=1),"A",IF(T61&gt;=Parametros!$H$6,"B","C")))</f>
        <v>C</v>
      </c>
      <c r="V61" s="17" t="s">
        <v>66</v>
      </c>
      <c r="W61" s="17"/>
    </row>
    <row r="62" customFormat="false" ht="15" hidden="false" customHeight="false" outlineLevel="0" collapsed="false">
      <c r="A62" s="14" t="s">
        <v>361</v>
      </c>
      <c r="B62" s="14" t="s">
        <v>362</v>
      </c>
      <c r="C62" s="14" t="s">
        <v>363</v>
      </c>
      <c r="D62" s="14"/>
      <c r="E62" s="14" t="s">
        <v>6</v>
      </c>
      <c r="F62" s="14" t="s">
        <v>364</v>
      </c>
      <c r="G62" s="15" t="s">
        <v>151</v>
      </c>
      <c r="H62" s="14" t="s">
        <v>152</v>
      </c>
      <c r="I62" s="14" t="s">
        <v>145</v>
      </c>
      <c r="J62" s="14" t="s">
        <v>145</v>
      </c>
      <c r="K62" s="14" t="s">
        <v>118</v>
      </c>
      <c r="L62" s="15" t="s">
        <v>74</v>
      </c>
      <c r="M62" s="14" t="s">
        <v>365</v>
      </c>
      <c r="N62" s="16" t="s">
        <v>366</v>
      </c>
      <c r="O62" s="15"/>
      <c r="P62" s="15" t="n">
        <v>1996</v>
      </c>
      <c r="Q62" s="15" t="n">
        <f aca="false">IFERROR(VLOOKUP(J62,Parametros!$A$5:$B$9,2,FALSE()),0)</f>
        <v>1</v>
      </c>
      <c r="R62" s="15" t="n">
        <f aca="false">IFERROR(VLOOKUP(H62,Parametros!$D$5:$E$16,2,FALSE()),1)</f>
        <v>2</v>
      </c>
      <c r="S62" s="15" t="n">
        <f aca="false">IF(OR(N(O62)&gt;=Parametros!$H$9,AND(N(P62)&gt;0,N(P62)&lt;=Parametros!$H$10)),1,0)</f>
        <v>1</v>
      </c>
      <c r="T62" s="15" t="n">
        <f aca="false">Q62+R62+S62</f>
        <v>4</v>
      </c>
      <c r="U62" s="15" t="str">
        <f aca="false">IF(OR(V62="Inactive",V62="No encontrada"),"Descartada",IF(AND(T62&gt;=Parametros!$H$5,S62=1),"A",IF(T62&gt;=Parametros!$H$6,"B","C")))</f>
        <v>B</v>
      </c>
      <c r="V62" s="17" t="s">
        <v>66</v>
      </c>
      <c r="W62" s="17"/>
    </row>
    <row r="63" customFormat="false" ht="35.05" hidden="false" customHeight="false" outlineLevel="0" collapsed="false">
      <c r="A63" s="14" t="s">
        <v>367</v>
      </c>
      <c r="B63" s="14" t="s">
        <v>368</v>
      </c>
      <c r="C63" s="14" t="s">
        <v>369</v>
      </c>
      <c r="D63" s="14"/>
      <c r="E63" s="14" t="s">
        <v>9</v>
      </c>
      <c r="F63" s="14" t="s">
        <v>370</v>
      </c>
      <c r="G63" s="15" t="s">
        <v>151</v>
      </c>
      <c r="H63" s="14" t="s">
        <v>152</v>
      </c>
      <c r="I63" s="14" t="s">
        <v>61</v>
      </c>
      <c r="J63" s="14" t="s">
        <v>8</v>
      </c>
      <c r="K63" s="14" t="s">
        <v>177</v>
      </c>
      <c r="L63" s="15" t="s">
        <v>74</v>
      </c>
      <c r="M63" s="14" t="s">
        <v>371</v>
      </c>
      <c r="N63" s="16" t="s">
        <v>372</v>
      </c>
      <c r="O63" s="15" t="n">
        <v>6</v>
      </c>
      <c r="P63" s="15" t="n">
        <v>1976</v>
      </c>
      <c r="Q63" s="15" t="n">
        <f aca="false">IFERROR(VLOOKUP(J63,Parametros!$A$5:$B$9,2,FALSE()),0)</f>
        <v>3</v>
      </c>
      <c r="R63" s="15" t="n">
        <f aca="false">IFERROR(VLOOKUP(H63,Parametros!$D$5:$E$16,2,FALSE()),1)</f>
        <v>2</v>
      </c>
      <c r="S63" s="15" t="n">
        <f aca="false">IF(OR(N(O63)&gt;=Parametros!$H$9,AND(N(P63)&gt;0,N(P63)&lt;=Parametros!$H$10)),1,0)</f>
        <v>1</v>
      </c>
      <c r="T63" s="15" t="n">
        <f aca="false">Q63+R63+S63</f>
        <v>6</v>
      </c>
      <c r="U63" s="15" t="str">
        <f aca="false">IF(OR(V63="Inactive",V63="No encontrada"),"Descartada",IF(AND(T63&gt;=Parametros!$H$5,S63=1),"A",IF(T63&gt;=Parametros!$H$6,"B","C")))</f>
        <v>A</v>
      </c>
      <c r="V63" s="17" t="s">
        <v>90</v>
      </c>
      <c r="W63" s="17"/>
    </row>
    <row r="64" customFormat="false" ht="15" hidden="false" customHeight="false" outlineLevel="0" collapsed="false">
      <c r="A64" s="14" t="s">
        <v>373</v>
      </c>
      <c r="B64" s="14" t="s">
        <v>374</v>
      </c>
      <c r="C64" s="14" t="s">
        <v>369</v>
      </c>
      <c r="D64" s="14"/>
      <c r="E64" s="14" t="s">
        <v>9</v>
      </c>
      <c r="F64" s="14" t="s">
        <v>375</v>
      </c>
      <c r="G64" s="15" t="s">
        <v>151</v>
      </c>
      <c r="H64" s="14" t="s">
        <v>152</v>
      </c>
      <c r="I64" s="14" t="s">
        <v>145</v>
      </c>
      <c r="J64" s="14" t="s">
        <v>8</v>
      </c>
      <c r="K64" s="14" t="s">
        <v>62</v>
      </c>
      <c r="L64" s="15" t="s">
        <v>63</v>
      </c>
      <c r="M64" s="14" t="s">
        <v>376</v>
      </c>
      <c r="N64" s="16" t="s">
        <v>377</v>
      </c>
      <c r="O64" s="15"/>
      <c r="P64" s="15" t="n">
        <v>1993</v>
      </c>
      <c r="Q64" s="15" t="n">
        <f aca="false">IFERROR(VLOOKUP(J64,Parametros!$A$5:$B$9,2,FALSE()),0)</f>
        <v>3</v>
      </c>
      <c r="R64" s="15" t="n">
        <f aca="false">IFERROR(VLOOKUP(H64,Parametros!$D$5:$E$16,2,FALSE()),1)</f>
        <v>2</v>
      </c>
      <c r="S64" s="15" t="n">
        <f aca="false">IF(OR(N(O64)&gt;=Parametros!$H$9,AND(N(P64)&gt;0,N(P64)&lt;=Parametros!$H$10)),1,0)</f>
        <v>1</v>
      </c>
      <c r="T64" s="15" t="n">
        <f aca="false">Q64+R64+S64</f>
        <v>6</v>
      </c>
      <c r="U64" s="15" t="str">
        <f aca="false">IF(OR(V64="Inactive",V64="No encontrada"),"Descartada",IF(AND(T64&gt;=Parametros!$H$5,S64=1),"A",IF(T64&gt;=Parametros!$H$6,"B","C")))</f>
        <v>A</v>
      </c>
      <c r="V64" s="17" t="s">
        <v>66</v>
      </c>
      <c r="W64" s="17"/>
    </row>
    <row r="65" customFormat="false" ht="15" hidden="false" customHeight="false" outlineLevel="0" collapsed="false">
      <c r="A65" s="14" t="s">
        <v>378</v>
      </c>
      <c r="B65" s="14" t="s">
        <v>379</v>
      </c>
      <c r="C65" s="14" t="s">
        <v>369</v>
      </c>
      <c r="D65" s="14"/>
      <c r="E65" s="14" t="s">
        <v>9</v>
      </c>
      <c r="F65" s="14" t="s">
        <v>380</v>
      </c>
      <c r="G65" s="15" t="s">
        <v>151</v>
      </c>
      <c r="H65" s="14" t="s">
        <v>152</v>
      </c>
      <c r="I65" s="14" t="s">
        <v>145</v>
      </c>
      <c r="J65" s="14" t="s">
        <v>8</v>
      </c>
      <c r="K65" s="14" t="s">
        <v>62</v>
      </c>
      <c r="L65" s="15" t="s">
        <v>63</v>
      </c>
      <c r="M65" s="14" t="s">
        <v>381</v>
      </c>
      <c r="N65" s="16" t="s">
        <v>382</v>
      </c>
      <c r="O65" s="15"/>
      <c r="P65" s="15" t="n">
        <v>1999</v>
      </c>
      <c r="Q65" s="15" t="n">
        <f aca="false">IFERROR(VLOOKUP(J65,Parametros!$A$5:$B$9,2,FALSE()),0)</f>
        <v>3</v>
      </c>
      <c r="R65" s="15" t="n">
        <f aca="false">IFERROR(VLOOKUP(H65,Parametros!$D$5:$E$16,2,FALSE()),1)</f>
        <v>2</v>
      </c>
      <c r="S65" s="15" t="n">
        <f aca="false">IF(OR(N(O65)&gt;=Parametros!$H$9,AND(N(P65)&gt;0,N(P65)&lt;=Parametros!$H$10)),1,0)</f>
        <v>1</v>
      </c>
      <c r="T65" s="15" t="n">
        <f aca="false">Q65+R65+S65</f>
        <v>6</v>
      </c>
      <c r="U65" s="15" t="str">
        <f aca="false">IF(OR(V65="Inactive",V65="No encontrada"),"Descartada",IF(AND(T65&gt;=Parametros!$H$5,S65=1),"A",IF(T65&gt;=Parametros!$H$6,"B","C")))</f>
        <v>A</v>
      </c>
      <c r="V65" s="17" t="s">
        <v>66</v>
      </c>
      <c r="W65" s="17"/>
    </row>
    <row r="66" customFormat="false" ht="15" hidden="false" customHeight="false" outlineLevel="0" collapsed="false">
      <c r="A66" s="14" t="s">
        <v>383</v>
      </c>
      <c r="B66" s="14" t="s">
        <v>384</v>
      </c>
      <c r="C66" s="14" t="s">
        <v>369</v>
      </c>
      <c r="D66" s="14"/>
      <c r="E66" s="14" t="s">
        <v>9</v>
      </c>
      <c r="F66" s="14" t="s">
        <v>385</v>
      </c>
      <c r="G66" s="15" t="s">
        <v>151</v>
      </c>
      <c r="H66" s="14" t="s">
        <v>152</v>
      </c>
      <c r="I66" s="14" t="s">
        <v>61</v>
      </c>
      <c r="J66" s="14" t="s">
        <v>8</v>
      </c>
      <c r="K66" s="14" t="s">
        <v>62</v>
      </c>
      <c r="L66" s="15" t="s">
        <v>63</v>
      </c>
      <c r="M66" s="14" t="s">
        <v>386</v>
      </c>
      <c r="N66" s="16" t="s">
        <v>387</v>
      </c>
      <c r="O66" s="15"/>
      <c r="P66" s="15" t="n">
        <v>2006</v>
      </c>
      <c r="Q66" s="15" t="n">
        <f aca="false">IFERROR(VLOOKUP(J66,Parametros!$A$5:$B$9,2,FALSE()),0)</f>
        <v>3</v>
      </c>
      <c r="R66" s="15" t="n">
        <f aca="false">IFERROR(VLOOKUP(H66,Parametros!$D$5:$E$16,2,FALSE()),1)</f>
        <v>2</v>
      </c>
      <c r="S66" s="15" t="n">
        <f aca="false">IF(OR(N(O66)&gt;=Parametros!$H$9,AND(N(P66)&gt;0,N(P66)&lt;=Parametros!$H$10)),1,0)</f>
        <v>0</v>
      </c>
      <c r="T66" s="15" t="n">
        <f aca="false">Q66+R66+S66</f>
        <v>5</v>
      </c>
      <c r="U66" s="15" t="str">
        <f aca="false">IF(OR(V66="Inactive",V66="No encontrada"),"Descartada",IF(AND(T66&gt;=Parametros!$H$5,S66=1),"A",IF(T66&gt;=Parametros!$H$6,"B","C")))</f>
        <v>B</v>
      </c>
      <c r="V66" s="17" t="s">
        <v>66</v>
      </c>
      <c r="W66" s="17"/>
    </row>
    <row r="67" customFormat="false" ht="23.85" hidden="false" customHeight="false" outlineLevel="0" collapsed="false">
      <c r="A67" s="14" t="s">
        <v>388</v>
      </c>
      <c r="B67" s="14" t="s">
        <v>389</v>
      </c>
      <c r="C67" s="14" t="s">
        <v>369</v>
      </c>
      <c r="D67" s="14"/>
      <c r="E67" s="14" t="s">
        <v>9</v>
      </c>
      <c r="F67" s="14" t="s">
        <v>390</v>
      </c>
      <c r="G67" s="15" t="s">
        <v>151</v>
      </c>
      <c r="H67" s="14" t="s">
        <v>152</v>
      </c>
      <c r="I67" s="14" t="s">
        <v>61</v>
      </c>
      <c r="J67" s="14" t="s">
        <v>8</v>
      </c>
      <c r="K67" s="14" t="s">
        <v>62</v>
      </c>
      <c r="L67" s="15" t="s">
        <v>63</v>
      </c>
      <c r="M67" s="14" t="s">
        <v>391</v>
      </c>
      <c r="N67" s="16" t="s">
        <v>392</v>
      </c>
      <c r="O67" s="15"/>
      <c r="P67" s="15"/>
      <c r="Q67" s="15" t="n">
        <f aca="false">IFERROR(VLOOKUP(J67,Parametros!$A$5:$B$9,2,FALSE()),0)</f>
        <v>3</v>
      </c>
      <c r="R67" s="15" t="n">
        <f aca="false">IFERROR(VLOOKUP(H67,Parametros!$D$5:$E$16,2,FALSE()),1)</f>
        <v>2</v>
      </c>
      <c r="S67" s="15" t="n">
        <f aca="false">IF(OR(N(O67)&gt;=Parametros!$H$9,AND(N(P67)&gt;0,N(P67)&lt;=Parametros!$H$10)),1,0)</f>
        <v>0</v>
      </c>
      <c r="T67" s="15" t="n">
        <f aca="false">Q67+R67+S67</f>
        <v>5</v>
      </c>
      <c r="U67" s="15" t="str">
        <f aca="false">IF(OR(V67="Inactive",V67="No encontrada"),"Descartada",IF(AND(T67&gt;=Parametros!$H$5,S67=1),"A",IF(T67&gt;=Parametros!$H$6,"B","C")))</f>
        <v>Descartada</v>
      </c>
      <c r="V67" s="17" t="s">
        <v>393</v>
      </c>
      <c r="W67" s="17"/>
    </row>
    <row r="68" customFormat="false" ht="15" hidden="false" customHeight="false" outlineLevel="0" collapsed="false">
      <c r="A68" s="14" t="s">
        <v>394</v>
      </c>
      <c r="B68" s="14" t="s">
        <v>395</v>
      </c>
      <c r="C68" s="14" t="s">
        <v>396</v>
      </c>
      <c r="D68" s="14"/>
      <c r="E68" s="14" t="s">
        <v>9</v>
      </c>
      <c r="F68" s="14" t="s">
        <v>397</v>
      </c>
      <c r="G68" s="15" t="s">
        <v>151</v>
      </c>
      <c r="H68" s="14" t="s">
        <v>152</v>
      </c>
      <c r="I68" s="14" t="s">
        <v>72</v>
      </c>
      <c r="J68" s="14" t="s">
        <v>8</v>
      </c>
      <c r="K68" s="14" t="s">
        <v>73</v>
      </c>
      <c r="L68" s="15" t="s">
        <v>74</v>
      </c>
      <c r="M68" s="14" t="s">
        <v>398</v>
      </c>
      <c r="N68" s="16" t="s">
        <v>399</v>
      </c>
      <c r="O68" s="15"/>
      <c r="P68" s="15" t="n">
        <v>2014</v>
      </c>
      <c r="Q68" s="15" t="n">
        <f aca="false">IFERROR(VLOOKUP(J68,Parametros!$A$5:$B$9,2,FALSE()),0)</f>
        <v>3</v>
      </c>
      <c r="R68" s="15" t="n">
        <f aca="false">IFERROR(VLOOKUP(H68,Parametros!$D$5:$E$16,2,FALSE()),1)</f>
        <v>2</v>
      </c>
      <c r="S68" s="15" t="n">
        <f aca="false">IF(OR(N(O68)&gt;=Parametros!$H$9,AND(N(P68)&gt;0,N(P68)&lt;=Parametros!$H$10)),1,0)</f>
        <v>0</v>
      </c>
      <c r="T68" s="15" t="n">
        <f aca="false">Q68+R68+S68</f>
        <v>5</v>
      </c>
      <c r="U68" s="15" t="str">
        <f aca="false">IF(OR(V68="Inactive",V68="No encontrada"),"Descartada",IF(AND(T68&gt;=Parametros!$H$5,S68=1),"A",IF(T68&gt;=Parametros!$H$6,"B","C")))</f>
        <v>B</v>
      </c>
      <c r="V68" s="17" t="s">
        <v>66</v>
      </c>
      <c r="W68" s="17"/>
    </row>
    <row r="69" customFormat="false" ht="15" hidden="false" customHeight="false" outlineLevel="0" collapsed="false">
      <c r="A69" s="14" t="s">
        <v>400</v>
      </c>
      <c r="B69" s="14" t="s">
        <v>401</v>
      </c>
      <c r="C69" s="14" t="s">
        <v>369</v>
      </c>
      <c r="D69" s="14"/>
      <c r="E69" s="14" t="s">
        <v>9</v>
      </c>
      <c r="F69" s="14" t="s">
        <v>402</v>
      </c>
      <c r="G69" s="15" t="s">
        <v>151</v>
      </c>
      <c r="H69" s="14" t="s">
        <v>152</v>
      </c>
      <c r="I69" s="14" t="s">
        <v>145</v>
      </c>
      <c r="J69" s="14" t="s">
        <v>111</v>
      </c>
      <c r="K69" s="14" t="s">
        <v>158</v>
      </c>
      <c r="L69" s="15" t="s">
        <v>74</v>
      </c>
      <c r="M69" s="14" t="s">
        <v>403</v>
      </c>
      <c r="N69" s="16" t="s">
        <v>404</v>
      </c>
      <c r="O69" s="15"/>
      <c r="P69" s="15"/>
      <c r="Q69" s="15" t="n">
        <f aca="false">IFERROR(VLOOKUP(J69,Parametros!$A$5:$B$9,2,FALSE()),0)</f>
        <v>3</v>
      </c>
      <c r="R69" s="15" t="n">
        <f aca="false">IFERROR(VLOOKUP(H69,Parametros!$D$5:$E$16,2,FALSE()),1)</f>
        <v>2</v>
      </c>
      <c r="S69" s="15" t="n">
        <f aca="false">IF(OR(N(O69)&gt;=Parametros!$H$9,AND(N(P69)&gt;0,N(P69)&lt;=Parametros!$H$10)),1,0)</f>
        <v>0</v>
      </c>
      <c r="T69" s="15" t="n">
        <f aca="false">Q69+R69+S69</f>
        <v>5</v>
      </c>
      <c r="U69" s="15" t="str">
        <f aca="false">IF(OR(V69="Inactive",V69="No encontrada"),"Descartada",IF(AND(T69&gt;=Parametros!$H$5,S69=1),"A",IF(T69&gt;=Parametros!$H$6,"B","C")))</f>
        <v>B</v>
      </c>
      <c r="V69" s="17" t="s">
        <v>66</v>
      </c>
      <c r="W69" s="17"/>
    </row>
    <row r="70" customFormat="false" ht="15" hidden="false" customHeight="false" outlineLevel="0" collapsed="false">
      <c r="A70" s="14" t="s">
        <v>405</v>
      </c>
      <c r="B70" s="14" t="s">
        <v>406</v>
      </c>
      <c r="C70" s="14" t="s">
        <v>407</v>
      </c>
      <c r="D70" s="14"/>
      <c r="E70" s="14" t="s">
        <v>9</v>
      </c>
      <c r="F70" s="14" t="s">
        <v>320</v>
      </c>
      <c r="G70" s="15" t="s">
        <v>95</v>
      </c>
      <c r="H70" s="14" t="s">
        <v>96</v>
      </c>
      <c r="I70" s="14" t="s">
        <v>61</v>
      </c>
      <c r="J70" s="14" t="s">
        <v>8</v>
      </c>
      <c r="K70" s="14" t="s">
        <v>177</v>
      </c>
      <c r="L70" s="15" t="s">
        <v>74</v>
      </c>
      <c r="M70" s="14" t="s">
        <v>408</v>
      </c>
      <c r="N70" s="16" t="s">
        <v>409</v>
      </c>
      <c r="O70" s="15"/>
      <c r="P70" s="15" t="n">
        <v>2008</v>
      </c>
      <c r="Q70" s="15" t="n">
        <f aca="false">IFERROR(VLOOKUP(J70,Parametros!$A$5:$B$9,2,FALSE()),0)</f>
        <v>3</v>
      </c>
      <c r="R70" s="15" t="n">
        <f aca="false">IFERROR(VLOOKUP(H70,Parametros!$D$5:$E$16,2,FALSE()),1)</f>
        <v>3</v>
      </c>
      <c r="S70" s="15" t="n">
        <f aca="false">IF(OR(N(O70)&gt;=Parametros!$H$9,AND(N(P70)&gt;0,N(P70)&lt;=Parametros!$H$10)),1,0)</f>
        <v>0</v>
      </c>
      <c r="T70" s="15" t="n">
        <f aca="false">Q70+R70+S70</f>
        <v>6</v>
      </c>
      <c r="U70" s="15" t="str">
        <f aca="false">IF(OR(V70="Inactive",V70="No encontrada"),"Descartada",IF(AND(T70&gt;=Parametros!$H$5,S70=1),"A",IF(T70&gt;=Parametros!$H$6,"B","C")))</f>
        <v>B</v>
      </c>
      <c r="V70" s="17" t="s">
        <v>66</v>
      </c>
      <c r="W70" s="17"/>
    </row>
    <row r="71" customFormat="false" ht="15" hidden="false" customHeight="false" outlineLevel="0" collapsed="false">
      <c r="A71" s="14" t="s">
        <v>410</v>
      </c>
      <c r="B71" s="14" t="s">
        <v>411</v>
      </c>
      <c r="C71" s="14" t="s">
        <v>407</v>
      </c>
      <c r="D71" s="14"/>
      <c r="E71" s="14" t="s">
        <v>9</v>
      </c>
      <c r="F71" s="14" t="s">
        <v>320</v>
      </c>
      <c r="G71" s="15" t="s">
        <v>95</v>
      </c>
      <c r="H71" s="14" t="s">
        <v>96</v>
      </c>
      <c r="I71" s="14" t="s">
        <v>87</v>
      </c>
      <c r="J71" s="14" t="s">
        <v>8</v>
      </c>
      <c r="K71" s="14" t="s">
        <v>62</v>
      </c>
      <c r="L71" s="15" t="s">
        <v>63</v>
      </c>
      <c r="M71" s="14" t="s">
        <v>412</v>
      </c>
      <c r="N71" s="16" t="s">
        <v>413</v>
      </c>
      <c r="O71" s="15" t="n">
        <v>3</v>
      </c>
      <c r="P71" s="15" t="n">
        <v>2006</v>
      </c>
      <c r="Q71" s="15" t="n">
        <f aca="false">IFERROR(VLOOKUP(J71,Parametros!$A$5:$B$9,2,FALSE()),0)</f>
        <v>3</v>
      </c>
      <c r="R71" s="15" t="n">
        <f aca="false">IFERROR(VLOOKUP(H71,Parametros!$D$5:$E$16,2,FALSE()),1)</f>
        <v>3</v>
      </c>
      <c r="S71" s="15" t="n">
        <f aca="false">IF(OR(N(O71)&gt;=Parametros!$H$9,AND(N(P71)&gt;0,N(P71)&lt;=Parametros!$H$10)),1,0)</f>
        <v>0</v>
      </c>
      <c r="T71" s="15" t="n">
        <f aca="false">Q71+R71+S71</f>
        <v>6</v>
      </c>
      <c r="U71" s="15" t="str">
        <f aca="false">IF(OR(V71="Inactive",V71="No encontrada"),"Descartada",IF(AND(T71&gt;=Parametros!$H$5,S71=1),"A",IF(T71&gt;=Parametros!$H$6,"B","C")))</f>
        <v>B</v>
      </c>
      <c r="V71" s="17" t="s">
        <v>66</v>
      </c>
      <c r="W71" s="17"/>
    </row>
    <row r="72" customFormat="false" ht="15" hidden="false" customHeight="false" outlineLevel="0" collapsed="false">
      <c r="A72" s="14" t="s">
        <v>414</v>
      </c>
      <c r="B72" s="14" t="s">
        <v>415</v>
      </c>
      <c r="C72" s="14" t="s">
        <v>407</v>
      </c>
      <c r="D72" s="14"/>
      <c r="E72" s="14" t="s">
        <v>9</v>
      </c>
      <c r="F72" s="14" t="s">
        <v>416</v>
      </c>
      <c r="G72" s="15" t="s">
        <v>151</v>
      </c>
      <c r="H72" s="14" t="s">
        <v>152</v>
      </c>
      <c r="I72" s="14" t="s">
        <v>61</v>
      </c>
      <c r="J72" s="14" t="s">
        <v>157</v>
      </c>
      <c r="K72" s="14" t="s">
        <v>188</v>
      </c>
      <c r="L72" s="15" t="s">
        <v>74</v>
      </c>
      <c r="M72" s="14" t="s">
        <v>417</v>
      </c>
      <c r="N72" s="16" t="s">
        <v>418</v>
      </c>
      <c r="O72" s="15"/>
      <c r="P72" s="15"/>
      <c r="Q72" s="15" t="n">
        <f aca="false">IFERROR(VLOOKUP(J72,Parametros!$A$5:$B$9,2,FALSE()),0)</f>
        <v>2</v>
      </c>
      <c r="R72" s="15" t="n">
        <f aca="false">IFERROR(VLOOKUP(H72,Parametros!$D$5:$E$16,2,FALSE()),1)</f>
        <v>2</v>
      </c>
      <c r="S72" s="15" t="n">
        <f aca="false">IF(OR(N(O72)&gt;=Parametros!$H$9,AND(N(P72)&gt;0,N(P72)&lt;=Parametros!$H$10)),1,0)</f>
        <v>0</v>
      </c>
      <c r="T72" s="15" t="n">
        <f aca="false">Q72+R72+S72</f>
        <v>4</v>
      </c>
      <c r="U72" s="15" t="str">
        <f aca="false">IF(OR(V72="Inactive",V72="No encontrada"),"Descartada",IF(AND(T72&gt;=Parametros!$H$5,S72=1),"A",IF(T72&gt;=Parametros!$H$6,"B","C")))</f>
        <v>B</v>
      </c>
      <c r="V72" s="17" t="s">
        <v>66</v>
      </c>
      <c r="W72" s="17"/>
    </row>
    <row r="73" customFormat="false" ht="15" hidden="false" customHeight="false" outlineLevel="0" collapsed="false">
      <c r="A73" s="14" t="s">
        <v>419</v>
      </c>
      <c r="B73" s="14" t="s">
        <v>420</v>
      </c>
      <c r="C73" s="14" t="s">
        <v>396</v>
      </c>
      <c r="D73" s="14"/>
      <c r="E73" s="14" t="s">
        <v>9</v>
      </c>
      <c r="F73" s="14" t="s">
        <v>421</v>
      </c>
      <c r="G73" s="15" t="s">
        <v>151</v>
      </c>
      <c r="H73" s="14" t="s">
        <v>152</v>
      </c>
      <c r="I73" s="14" t="s">
        <v>145</v>
      </c>
      <c r="J73" s="14" t="s">
        <v>8</v>
      </c>
      <c r="K73" s="14" t="s">
        <v>62</v>
      </c>
      <c r="L73" s="15" t="s">
        <v>63</v>
      </c>
      <c r="M73" s="14" t="s">
        <v>422</v>
      </c>
      <c r="N73" s="16" t="s">
        <v>423</v>
      </c>
      <c r="O73" s="15"/>
      <c r="P73" s="15" t="n">
        <v>1987</v>
      </c>
      <c r="Q73" s="15" t="n">
        <f aca="false">IFERROR(VLOOKUP(J73,Parametros!$A$5:$B$9,2,FALSE()),0)</f>
        <v>3</v>
      </c>
      <c r="R73" s="15" t="n">
        <f aca="false">IFERROR(VLOOKUP(H73,Parametros!$D$5:$E$16,2,FALSE()),1)</f>
        <v>2</v>
      </c>
      <c r="S73" s="15" t="n">
        <f aca="false">IF(OR(N(O73)&gt;=Parametros!$H$9,AND(N(P73)&gt;0,N(P73)&lt;=Parametros!$H$10)),1,0)</f>
        <v>1</v>
      </c>
      <c r="T73" s="15" t="n">
        <f aca="false">Q73+R73+S73</f>
        <v>6</v>
      </c>
      <c r="U73" s="15" t="str">
        <f aca="false">IF(OR(V73="Inactive",V73="No encontrada"),"Descartada",IF(AND(T73&gt;=Parametros!$H$5,S73=1),"A",IF(T73&gt;=Parametros!$H$6,"B","C")))</f>
        <v>A</v>
      </c>
      <c r="V73" s="17" t="s">
        <v>66</v>
      </c>
      <c r="W73" s="17"/>
    </row>
    <row r="74" customFormat="false" ht="15" hidden="false" customHeight="false" outlineLevel="0" collapsed="false">
      <c r="A74" s="14" t="s">
        <v>424</v>
      </c>
      <c r="B74" s="14" t="s">
        <v>425</v>
      </c>
      <c r="C74" s="14" t="s">
        <v>396</v>
      </c>
      <c r="D74" s="14"/>
      <c r="E74" s="14" t="s">
        <v>9</v>
      </c>
      <c r="F74" s="14" t="s">
        <v>426</v>
      </c>
      <c r="G74" s="15" t="s">
        <v>151</v>
      </c>
      <c r="H74" s="14" t="s">
        <v>152</v>
      </c>
      <c r="I74" s="14" t="s">
        <v>61</v>
      </c>
      <c r="J74" s="14" t="s">
        <v>111</v>
      </c>
      <c r="K74" s="14" t="s">
        <v>427</v>
      </c>
      <c r="L74" s="15" t="s">
        <v>74</v>
      </c>
      <c r="M74" s="14" t="s">
        <v>428</v>
      </c>
      <c r="N74" s="16" t="s">
        <v>429</v>
      </c>
      <c r="O74" s="15"/>
      <c r="P74" s="15" t="n">
        <v>2009</v>
      </c>
      <c r="Q74" s="15" t="n">
        <f aca="false">IFERROR(VLOOKUP(J74,Parametros!$A$5:$B$9,2,FALSE()),0)</f>
        <v>3</v>
      </c>
      <c r="R74" s="15" t="n">
        <f aca="false">IFERROR(VLOOKUP(H74,Parametros!$D$5:$E$16,2,FALSE()),1)</f>
        <v>2</v>
      </c>
      <c r="S74" s="15" t="n">
        <f aca="false">IF(OR(N(O74)&gt;=Parametros!$H$9,AND(N(P74)&gt;0,N(P74)&lt;=Parametros!$H$10)),1,0)</f>
        <v>0</v>
      </c>
      <c r="T74" s="15" t="n">
        <f aca="false">Q74+R74+S74</f>
        <v>5</v>
      </c>
      <c r="U74" s="15" t="str">
        <f aca="false">IF(OR(V74="Inactive",V74="No encontrada"),"Descartada",IF(AND(T74&gt;=Parametros!$H$5,S74=1),"A",IF(T74&gt;=Parametros!$H$6,"B","C")))</f>
        <v>B</v>
      </c>
      <c r="V74" s="17" t="s">
        <v>66</v>
      </c>
      <c r="W74" s="17"/>
    </row>
    <row r="75" customFormat="false" ht="15" hidden="false" customHeight="false" outlineLevel="0" collapsed="false">
      <c r="A75" s="14" t="s">
        <v>430</v>
      </c>
      <c r="B75" s="14" t="s">
        <v>431</v>
      </c>
      <c r="C75" s="14" t="s">
        <v>396</v>
      </c>
      <c r="D75" s="14"/>
      <c r="E75" s="14" t="s">
        <v>9</v>
      </c>
      <c r="F75" s="14" t="s">
        <v>426</v>
      </c>
      <c r="G75" s="15" t="s">
        <v>151</v>
      </c>
      <c r="H75" s="14" t="s">
        <v>152</v>
      </c>
      <c r="I75" s="14" t="s">
        <v>145</v>
      </c>
      <c r="J75" s="14" t="s">
        <v>145</v>
      </c>
      <c r="K75" s="14" t="s">
        <v>145</v>
      </c>
      <c r="L75" s="15" t="s">
        <v>145</v>
      </c>
      <c r="M75" s="14" t="s">
        <v>432</v>
      </c>
      <c r="N75" s="16" t="s">
        <v>433</v>
      </c>
      <c r="O75" s="15"/>
      <c r="P75" s="15"/>
      <c r="Q75" s="15" t="n">
        <f aca="false">IFERROR(VLOOKUP(J75,Parametros!$A$5:$B$9,2,FALSE()),0)</f>
        <v>1</v>
      </c>
      <c r="R75" s="15" t="n">
        <f aca="false">IFERROR(VLOOKUP(H75,Parametros!$D$5:$E$16,2,FALSE()),1)</f>
        <v>2</v>
      </c>
      <c r="S75" s="15" t="n">
        <f aca="false">IF(OR(N(O75)&gt;=Parametros!$H$9,AND(N(P75)&gt;0,N(P75)&lt;=Parametros!$H$10)),1,0)</f>
        <v>0</v>
      </c>
      <c r="T75" s="15" t="n">
        <f aca="false">Q75+R75+S75</f>
        <v>3</v>
      </c>
      <c r="U75" s="15" t="str">
        <f aca="false">IF(OR(V75="Inactive",V75="No encontrada"),"Descartada",IF(AND(T75&gt;=Parametros!$H$5,S75=1),"A",IF(T75&gt;=Parametros!$H$6,"B","C")))</f>
        <v>C</v>
      </c>
      <c r="V75" s="17" t="s">
        <v>66</v>
      </c>
      <c r="W75" s="17"/>
    </row>
    <row r="76" customFormat="false" ht="15" hidden="false" customHeight="false" outlineLevel="0" collapsed="false">
      <c r="A76" s="14" t="s">
        <v>434</v>
      </c>
      <c r="B76" s="14" t="s">
        <v>435</v>
      </c>
      <c r="C76" s="14" t="s">
        <v>396</v>
      </c>
      <c r="D76" s="14"/>
      <c r="E76" s="14" t="s">
        <v>9</v>
      </c>
      <c r="F76" s="14" t="s">
        <v>426</v>
      </c>
      <c r="G76" s="15" t="s">
        <v>151</v>
      </c>
      <c r="H76" s="14" t="s">
        <v>152</v>
      </c>
      <c r="I76" s="14" t="s">
        <v>145</v>
      </c>
      <c r="J76" s="14" t="s">
        <v>145</v>
      </c>
      <c r="K76" s="14" t="s">
        <v>145</v>
      </c>
      <c r="L76" s="15" t="s">
        <v>145</v>
      </c>
      <c r="M76" s="14" t="s">
        <v>432</v>
      </c>
      <c r="N76" s="16" t="s">
        <v>436</v>
      </c>
      <c r="O76" s="15"/>
      <c r="P76" s="15"/>
      <c r="Q76" s="15" t="n">
        <f aca="false">IFERROR(VLOOKUP(J76,Parametros!$A$5:$B$9,2,FALSE()),0)</f>
        <v>1</v>
      </c>
      <c r="R76" s="15" t="n">
        <f aca="false">IFERROR(VLOOKUP(H76,Parametros!$D$5:$E$16,2,FALSE()),1)</f>
        <v>2</v>
      </c>
      <c r="S76" s="15" t="n">
        <f aca="false">IF(OR(N(O76)&gt;=Parametros!$H$9,AND(N(P76)&gt;0,N(P76)&lt;=Parametros!$H$10)),1,0)</f>
        <v>0</v>
      </c>
      <c r="T76" s="15" t="n">
        <f aca="false">Q76+R76+S76</f>
        <v>3</v>
      </c>
      <c r="U76" s="15" t="str">
        <f aca="false">IF(OR(V76="Inactive",V76="No encontrada"),"Descartada",IF(AND(T76&gt;=Parametros!$H$5,S76=1),"A",IF(T76&gt;=Parametros!$H$6,"B","C")))</f>
        <v>C</v>
      </c>
      <c r="V76" s="17" t="s">
        <v>66</v>
      </c>
      <c r="W76" s="17"/>
    </row>
    <row r="77" customFormat="false" ht="15" hidden="false" customHeight="false" outlineLevel="0" collapsed="false">
      <c r="A77" s="14" t="s">
        <v>437</v>
      </c>
      <c r="B77" s="14" t="s">
        <v>438</v>
      </c>
      <c r="C77" s="14" t="s">
        <v>396</v>
      </c>
      <c r="D77" s="14"/>
      <c r="E77" s="14" t="s">
        <v>9</v>
      </c>
      <c r="F77" s="14" t="s">
        <v>150</v>
      </c>
      <c r="G77" s="15" t="s">
        <v>151</v>
      </c>
      <c r="H77" s="14" t="s">
        <v>152</v>
      </c>
      <c r="I77" s="14" t="s">
        <v>145</v>
      </c>
      <c r="J77" s="14" t="s">
        <v>145</v>
      </c>
      <c r="K77" s="14" t="s">
        <v>145</v>
      </c>
      <c r="L77" s="15" t="s">
        <v>145</v>
      </c>
      <c r="M77" s="14" t="s">
        <v>432</v>
      </c>
      <c r="N77" s="16" t="s">
        <v>439</v>
      </c>
      <c r="O77" s="15"/>
      <c r="P77" s="15"/>
      <c r="Q77" s="15" t="n">
        <f aca="false">IFERROR(VLOOKUP(J77,Parametros!$A$5:$B$9,2,FALSE()),0)</f>
        <v>1</v>
      </c>
      <c r="R77" s="15" t="n">
        <f aca="false">IFERROR(VLOOKUP(H77,Parametros!$D$5:$E$16,2,FALSE()),1)</f>
        <v>2</v>
      </c>
      <c r="S77" s="15" t="n">
        <f aca="false">IF(OR(N(O77)&gt;=Parametros!$H$9,AND(N(P77)&gt;0,N(P77)&lt;=Parametros!$H$10)),1,0)</f>
        <v>0</v>
      </c>
      <c r="T77" s="15" t="n">
        <f aca="false">Q77+R77+S77</f>
        <v>3</v>
      </c>
      <c r="U77" s="15" t="str">
        <f aca="false">IF(OR(V77="Inactive",V77="No encontrada"),"Descartada",IF(AND(T77&gt;=Parametros!$H$5,S77=1),"A",IF(T77&gt;=Parametros!$H$6,"B","C")))</f>
        <v>C</v>
      </c>
      <c r="V77" s="17" t="s">
        <v>66</v>
      </c>
      <c r="W77" s="17"/>
    </row>
    <row r="78" customFormat="false" ht="15" hidden="false" customHeight="false" outlineLevel="0" collapsed="false">
      <c r="A78" s="14" t="s">
        <v>440</v>
      </c>
      <c r="B78" s="14" t="s">
        <v>441</v>
      </c>
      <c r="C78" s="14" t="s">
        <v>369</v>
      </c>
      <c r="D78" s="14"/>
      <c r="E78" s="14" t="s">
        <v>9</v>
      </c>
      <c r="F78" s="14" t="s">
        <v>442</v>
      </c>
      <c r="G78" s="15" t="s">
        <v>151</v>
      </c>
      <c r="H78" s="14" t="s">
        <v>152</v>
      </c>
      <c r="I78" s="14" t="s">
        <v>145</v>
      </c>
      <c r="J78" s="14" t="s">
        <v>145</v>
      </c>
      <c r="K78" s="14" t="s">
        <v>145</v>
      </c>
      <c r="L78" s="15" t="s">
        <v>145</v>
      </c>
      <c r="M78" s="14" t="s">
        <v>443</v>
      </c>
      <c r="N78" s="16" t="s">
        <v>444</v>
      </c>
      <c r="O78" s="15"/>
      <c r="P78" s="15"/>
      <c r="Q78" s="15" t="n">
        <f aca="false">IFERROR(VLOOKUP(J78,Parametros!$A$5:$B$9,2,FALSE()),0)</f>
        <v>1</v>
      </c>
      <c r="R78" s="15" t="n">
        <f aca="false">IFERROR(VLOOKUP(H78,Parametros!$D$5:$E$16,2,FALSE()),1)</f>
        <v>2</v>
      </c>
      <c r="S78" s="15" t="n">
        <f aca="false">IF(OR(N(O78)&gt;=Parametros!$H$9,AND(N(P78)&gt;0,N(P78)&lt;=Parametros!$H$10)),1,0)</f>
        <v>0</v>
      </c>
      <c r="T78" s="15" t="n">
        <f aca="false">Q78+R78+S78</f>
        <v>3</v>
      </c>
      <c r="U78" s="15" t="str">
        <f aca="false">IF(OR(V78="Inactive",V78="No encontrada"),"Descartada",IF(AND(T78&gt;=Parametros!$H$5,S78=1),"A",IF(T78&gt;=Parametros!$H$6,"B","C")))</f>
        <v>C</v>
      </c>
      <c r="V78" s="17" t="s">
        <v>66</v>
      </c>
      <c r="W78" s="17"/>
    </row>
    <row r="79" customFormat="false" ht="15" hidden="false" customHeight="false" outlineLevel="0" collapsed="false">
      <c r="A79" s="14" t="s">
        <v>445</v>
      </c>
      <c r="B79" s="14" t="s">
        <v>446</v>
      </c>
      <c r="C79" s="14" t="s">
        <v>396</v>
      </c>
      <c r="D79" s="14"/>
      <c r="E79" s="14" t="s">
        <v>9</v>
      </c>
      <c r="F79" s="14" t="s">
        <v>447</v>
      </c>
      <c r="G79" s="15" t="s">
        <v>151</v>
      </c>
      <c r="H79" s="14" t="s">
        <v>152</v>
      </c>
      <c r="I79" s="14" t="s">
        <v>145</v>
      </c>
      <c r="J79" s="14" t="s">
        <v>145</v>
      </c>
      <c r="K79" s="14" t="s">
        <v>145</v>
      </c>
      <c r="L79" s="15" t="s">
        <v>145</v>
      </c>
      <c r="M79" s="14" t="s">
        <v>443</v>
      </c>
      <c r="N79" s="16" t="s">
        <v>448</v>
      </c>
      <c r="O79" s="15"/>
      <c r="P79" s="15"/>
      <c r="Q79" s="15" t="n">
        <f aca="false">IFERROR(VLOOKUP(J79,Parametros!$A$5:$B$9,2,FALSE()),0)</f>
        <v>1</v>
      </c>
      <c r="R79" s="15" t="n">
        <f aca="false">IFERROR(VLOOKUP(H79,Parametros!$D$5:$E$16,2,FALSE()),1)</f>
        <v>2</v>
      </c>
      <c r="S79" s="15" t="n">
        <f aca="false">IF(OR(N(O79)&gt;=Parametros!$H$9,AND(N(P79)&gt;0,N(P79)&lt;=Parametros!$H$10)),1,0)</f>
        <v>0</v>
      </c>
      <c r="T79" s="15" t="n">
        <f aca="false">Q79+R79+S79</f>
        <v>3</v>
      </c>
      <c r="U79" s="15" t="str">
        <f aca="false">IF(OR(V79="Inactive",V79="No encontrada"),"Descartada",IF(AND(T79&gt;=Parametros!$H$5,S79=1),"A",IF(T79&gt;=Parametros!$H$6,"B","C")))</f>
        <v>C</v>
      </c>
      <c r="V79" s="17" t="s">
        <v>66</v>
      </c>
      <c r="W79" s="17"/>
    </row>
    <row r="80" customFormat="false" ht="15" hidden="false" customHeight="false" outlineLevel="0" collapsed="false">
      <c r="A80" s="14" t="s">
        <v>449</v>
      </c>
      <c r="B80" s="14" t="s">
        <v>450</v>
      </c>
      <c r="C80" s="14" t="s">
        <v>396</v>
      </c>
      <c r="D80" s="14"/>
      <c r="E80" s="14" t="s">
        <v>9</v>
      </c>
      <c r="F80" s="14" t="s">
        <v>451</v>
      </c>
      <c r="G80" s="15" t="s">
        <v>151</v>
      </c>
      <c r="H80" s="14" t="s">
        <v>152</v>
      </c>
      <c r="I80" s="14" t="s">
        <v>72</v>
      </c>
      <c r="J80" s="14" t="s">
        <v>145</v>
      </c>
      <c r="K80" s="14" t="s">
        <v>145</v>
      </c>
      <c r="L80" s="15" t="s">
        <v>145</v>
      </c>
      <c r="M80" s="14" t="s">
        <v>443</v>
      </c>
      <c r="N80" s="16" t="s">
        <v>452</v>
      </c>
      <c r="O80" s="15"/>
      <c r="P80" s="15"/>
      <c r="Q80" s="15" t="n">
        <f aca="false">IFERROR(VLOOKUP(J80,Parametros!$A$5:$B$9,2,FALSE()),0)</f>
        <v>1</v>
      </c>
      <c r="R80" s="15" t="n">
        <f aca="false">IFERROR(VLOOKUP(H80,Parametros!$D$5:$E$16,2,FALSE()),1)</f>
        <v>2</v>
      </c>
      <c r="S80" s="15" t="n">
        <f aca="false">IF(OR(N(O80)&gt;=Parametros!$H$9,AND(N(P80)&gt;0,N(P80)&lt;=Parametros!$H$10)),1,0)</f>
        <v>0</v>
      </c>
      <c r="T80" s="15" t="n">
        <f aca="false">Q80+R80+S80</f>
        <v>3</v>
      </c>
      <c r="U80" s="15" t="str">
        <f aca="false">IF(OR(V80="Inactive",V80="No encontrada"),"Descartada",IF(AND(T80&gt;=Parametros!$H$5,S80=1),"A",IF(T80&gt;=Parametros!$H$6,"B","C")))</f>
        <v>C</v>
      </c>
      <c r="V80" s="17" t="s">
        <v>66</v>
      </c>
      <c r="W80" s="17"/>
    </row>
    <row r="81" customFormat="false" ht="15" hidden="false" customHeight="false" outlineLevel="0" collapsed="false">
      <c r="A81" s="14" t="s">
        <v>453</v>
      </c>
      <c r="B81" s="14" t="s">
        <v>454</v>
      </c>
      <c r="C81" s="14" t="s">
        <v>396</v>
      </c>
      <c r="D81" s="14"/>
      <c r="E81" s="14" t="s">
        <v>9</v>
      </c>
      <c r="F81" s="14" t="s">
        <v>455</v>
      </c>
      <c r="G81" s="15" t="s">
        <v>95</v>
      </c>
      <c r="H81" s="14" t="s">
        <v>96</v>
      </c>
      <c r="I81" s="14" t="s">
        <v>72</v>
      </c>
      <c r="J81" s="14" t="s">
        <v>145</v>
      </c>
      <c r="K81" s="14" t="s">
        <v>145</v>
      </c>
      <c r="L81" s="15" t="s">
        <v>145</v>
      </c>
      <c r="M81" s="14" t="s">
        <v>456</v>
      </c>
      <c r="N81" s="16" t="s">
        <v>457</v>
      </c>
      <c r="O81" s="15"/>
      <c r="P81" s="15"/>
      <c r="Q81" s="15" t="n">
        <f aca="false">IFERROR(VLOOKUP(J81,Parametros!$A$5:$B$9,2,FALSE()),0)</f>
        <v>1</v>
      </c>
      <c r="R81" s="15" t="n">
        <f aca="false">IFERROR(VLOOKUP(H81,Parametros!$D$5:$E$16,2,FALSE()),1)</f>
        <v>3</v>
      </c>
      <c r="S81" s="15" t="n">
        <f aca="false">IF(OR(N(O81)&gt;=Parametros!$H$9,AND(N(P81)&gt;0,N(P81)&lt;=Parametros!$H$10)),1,0)</f>
        <v>0</v>
      </c>
      <c r="T81" s="15" t="n">
        <f aca="false">Q81+R81+S81</f>
        <v>4</v>
      </c>
      <c r="U81" s="15" t="str">
        <f aca="false">IF(OR(V81="Inactive",V81="No encontrada"),"Descartada",IF(AND(T81&gt;=Parametros!$H$5,S81=1),"A",IF(T81&gt;=Parametros!$H$6,"B","C")))</f>
        <v>B</v>
      </c>
      <c r="V81" s="17" t="s">
        <v>66</v>
      </c>
      <c r="W81" s="17"/>
    </row>
    <row r="82" customFormat="false" ht="15" hidden="false" customHeight="false" outlineLevel="0" collapsed="false">
      <c r="A82" s="14" t="s">
        <v>458</v>
      </c>
      <c r="B82" s="14" t="s">
        <v>459</v>
      </c>
      <c r="C82" s="14" t="s">
        <v>396</v>
      </c>
      <c r="D82" s="14"/>
      <c r="E82" s="14" t="s">
        <v>9</v>
      </c>
      <c r="F82" s="14" t="s">
        <v>460</v>
      </c>
      <c r="G82" s="15" t="s">
        <v>95</v>
      </c>
      <c r="H82" s="14" t="s">
        <v>96</v>
      </c>
      <c r="I82" s="14" t="s">
        <v>145</v>
      </c>
      <c r="J82" s="14" t="s">
        <v>145</v>
      </c>
      <c r="K82" s="14" t="s">
        <v>145</v>
      </c>
      <c r="L82" s="15" t="s">
        <v>145</v>
      </c>
      <c r="M82" s="14" t="s">
        <v>443</v>
      </c>
      <c r="N82" s="16" t="s">
        <v>461</v>
      </c>
      <c r="O82" s="15"/>
      <c r="P82" s="15"/>
      <c r="Q82" s="15" t="n">
        <f aca="false">IFERROR(VLOOKUP(J82,Parametros!$A$5:$B$9,2,FALSE()),0)</f>
        <v>1</v>
      </c>
      <c r="R82" s="15" t="n">
        <f aca="false">IFERROR(VLOOKUP(H82,Parametros!$D$5:$E$16,2,FALSE()),1)</f>
        <v>3</v>
      </c>
      <c r="S82" s="15" t="n">
        <f aca="false">IF(OR(N(O82)&gt;=Parametros!$H$9,AND(N(P82)&gt;0,N(P82)&lt;=Parametros!$H$10)),1,0)</f>
        <v>0</v>
      </c>
      <c r="T82" s="15" t="n">
        <f aca="false">Q82+R82+S82</f>
        <v>4</v>
      </c>
      <c r="U82" s="15" t="str">
        <f aca="false">IF(OR(V82="Inactive",V82="No encontrada"),"Descartada",IF(AND(T82&gt;=Parametros!$H$5,S82=1),"A",IF(T82&gt;=Parametros!$H$6,"B","C")))</f>
        <v>B</v>
      </c>
      <c r="V82" s="17" t="s">
        <v>66</v>
      </c>
      <c r="W82" s="17"/>
    </row>
    <row r="83" customFormat="false" ht="15" hidden="false" customHeight="false" outlineLevel="0" collapsed="false">
      <c r="A83" s="14" t="s">
        <v>462</v>
      </c>
      <c r="B83" s="14" t="s">
        <v>463</v>
      </c>
      <c r="C83" s="14" t="s">
        <v>407</v>
      </c>
      <c r="D83" s="14"/>
      <c r="E83" s="14" t="s">
        <v>9</v>
      </c>
      <c r="F83" s="14" t="s">
        <v>320</v>
      </c>
      <c r="G83" s="15" t="s">
        <v>95</v>
      </c>
      <c r="H83" s="14" t="s">
        <v>96</v>
      </c>
      <c r="I83" s="14" t="s">
        <v>61</v>
      </c>
      <c r="J83" s="14" t="s">
        <v>145</v>
      </c>
      <c r="K83" s="14" t="s">
        <v>145</v>
      </c>
      <c r="L83" s="15" t="s">
        <v>145</v>
      </c>
      <c r="M83" s="14" t="s">
        <v>464</v>
      </c>
      <c r="N83" s="16" t="s">
        <v>465</v>
      </c>
      <c r="O83" s="15"/>
      <c r="P83" s="15"/>
      <c r="Q83" s="15" t="n">
        <f aca="false">IFERROR(VLOOKUP(J83,Parametros!$A$5:$B$9,2,FALSE()),0)</f>
        <v>1</v>
      </c>
      <c r="R83" s="15" t="n">
        <f aca="false">IFERROR(VLOOKUP(H83,Parametros!$D$5:$E$16,2,FALSE()),1)</f>
        <v>3</v>
      </c>
      <c r="S83" s="15" t="n">
        <f aca="false">IF(OR(N(O83)&gt;=Parametros!$H$9,AND(N(P83)&gt;0,N(P83)&lt;=Parametros!$H$10)),1,0)</f>
        <v>0</v>
      </c>
      <c r="T83" s="15" t="n">
        <f aca="false">Q83+R83+S83</f>
        <v>4</v>
      </c>
      <c r="U83" s="15" t="str">
        <f aca="false">IF(OR(V83="Inactive",V83="No encontrada"),"Descartada",IF(AND(T83&gt;=Parametros!$H$5,S83=1),"A",IF(T83&gt;=Parametros!$H$6,"B","C")))</f>
        <v>B</v>
      </c>
      <c r="V83" s="17" t="s">
        <v>66</v>
      </c>
      <c r="W83" s="17"/>
    </row>
    <row r="84" customFormat="false" ht="15" hidden="false" customHeight="false" outlineLevel="0" collapsed="false">
      <c r="A84" s="14" t="s">
        <v>466</v>
      </c>
      <c r="B84" s="14" t="s">
        <v>467</v>
      </c>
      <c r="C84" s="14" t="s">
        <v>407</v>
      </c>
      <c r="D84" s="14"/>
      <c r="E84" s="14" t="s">
        <v>9</v>
      </c>
      <c r="F84" s="14" t="s">
        <v>320</v>
      </c>
      <c r="G84" s="15" t="s">
        <v>95</v>
      </c>
      <c r="H84" s="14" t="s">
        <v>96</v>
      </c>
      <c r="I84" s="14" t="s">
        <v>72</v>
      </c>
      <c r="J84" s="14" t="s">
        <v>145</v>
      </c>
      <c r="K84" s="14" t="s">
        <v>145</v>
      </c>
      <c r="L84" s="15" t="s">
        <v>145</v>
      </c>
      <c r="M84" s="14" t="s">
        <v>443</v>
      </c>
      <c r="N84" s="16" t="s">
        <v>468</v>
      </c>
      <c r="O84" s="15"/>
      <c r="P84" s="15"/>
      <c r="Q84" s="15" t="n">
        <f aca="false">IFERROR(VLOOKUP(J84,Parametros!$A$5:$B$9,2,FALSE()),0)</f>
        <v>1</v>
      </c>
      <c r="R84" s="15" t="n">
        <f aca="false">IFERROR(VLOOKUP(H84,Parametros!$D$5:$E$16,2,FALSE()),1)</f>
        <v>3</v>
      </c>
      <c r="S84" s="15" t="n">
        <f aca="false">IF(OR(N(O84)&gt;=Parametros!$H$9,AND(N(P84)&gt;0,N(P84)&lt;=Parametros!$H$10)),1,0)</f>
        <v>0</v>
      </c>
      <c r="T84" s="15" t="n">
        <f aca="false">Q84+R84+S84</f>
        <v>4</v>
      </c>
      <c r="U84" s="15" t="str">
        <f aca="false">IF(OR(V84="Inactive",V84="No encontrada"),"Descartada",IF(AND(T84&gt;=Parametros!$H$5,S84=1),"A",IF(T84&gt;=Parametros!$H$6,"B","C")))</f>
        <v>B</v>
      </c>
      <c r="V84" s="17" t="s">
        <v>66</v>
      </c>
      <c r="W84" s="17"/>
    </row>
    <row r="85" customFormat="false" ht="15" hidden="false" customHeight="false" outlineLevel="0" collapsed="false">
      <c r="A85" s="14" t="s">
        <v>469</v>
      </c>
      <c r="B85" s="14" t="s">
        <v>470</v>
      </c>
      <c r="C85" s="14" t="s">
        <v>471</v>
      </c>
      <c r="D85" s="14"/>
      <c r="E85" s="14" t="s">
        <v>9</v>
      </c>
      <c r="F85" s="14" t="s">
        <v>102</v>
      </c>
      <c r="G85" s="15" t="s">
        <v>103</v>
      </c>
      <c r="H85" s="14" t="s">
        <v>104</v>
      </c>
      <c r="I85" s="14" t="s">
        <v>145</v>
      </c>
      <c r="J85" s="14" t="s">
        <v>145</v>
      </c>
      <c r="K85" s="14" t="s">
        <v>145</v>
      </c>
      <c r="L85" s="15" t="s">
        <v>145</v>
      </c>
      <c r="M85" s="14" t="s">
        <v>472</v>
      </c>
      <c r="N85" s="16" t="s">
        <v>473</v>
      </c>
      <c r="O85" s="15" t="n">
        <v>6</v>
      </c>
      <c r="P85" s="15"/>
      <c r="Q85" s="15" t="n">
        <f aca="false">IFERROR(VLOOKUP(J85,Parametros!$A$5:$B$9,2,FALSE()),0)</f>
        <v>1</v>
      </c>
      <c r="R85" s="15" t="n">
        <f aca="false">IFERROR(VLOOKUP(H85,Parametros!$D$5:$E$16,2,FALSE()),1)</f>
        <v>3</v>
      </c>
      <c r="S85" s="15" t="n">
        <f aca="false">IF(OR(N(O85)&gt;=Parametros!$H$9,AND(N(P85)&gt;0,N(P85)&lt;=Parametros!$H$10)),1,0)</f>
        <v>0</v>
      </c>
      <c r="T85" s="15" t="n">
        <f aca="false">Q85+R85+S85</f>
        <v>4</v>
      </c>
      <c r="U85" s="15" t="str">
        <f aca="false">IF(OR(V85="Inactive",V85="No encontrada"),"Descartada",IF(AND(T85&gt;=Parametros!$H$5,S85=1),"A",IF(T85&gt;=Parametros!$H$6,"B","C")))</f>
        <v>B</v>
      </c>
      <c r="V85" s="17" t="s">
        <v>66</v>
      </c>
      <c r="W85" s="17"/>
    </row>
    <row r="86" customFormat="false" ht="15" hidden="false" customHeight="false" outlineLevel="0" collapsed="false">
      <c r="A86" s="14" t="s">
        <v>474</v>
      </c>
      <c r="B86" s="14" t="s">
        <v>475</v>
      </c>
      <c r="C86" s="14" t="s">
        <v>471</v>
      </c>
      <c r="D86" s="14"/>
      <c r="E86" s="14" t="s">
        <v>9</v>
      </c>
      <c r="F86" s="14" t="s">
        <v>102</v>
      </c>
      <c r="G86" s="15" t="s">
        <v>103</v>
      </c>
      <c r="H86" s="14" t="s">
        <v>104</v>
      </c>
      <c r="I86" s="14" t="s">
        <v>72</v>
      </c>
      <c r="J86" s="14" t="s">
        <v>145</v>
      </c>
      <c r="K86" s="14" t="s">
        <v>145</v>
      </c>
      <c r="L86" s="15" t="s">
        <v>145</v>
      </c>
      <c r="M86" s="14" t="s">
        <v>443</v>
      </c>
      <c r="N86" s="16" t="s">
        <v>476</v>
      </c>
      <c r="O86" s="15"/>
      <c r="P86" s="15"/>
      <c r="Q86" s="15" t="n">
        <f aca="false">IFERROR(VLOOKUP(J86,Parametros!$A$5:$B$9,2,FALSE()),0)</f>
        <v>1</v>
      </c>
      <c r="R86" s="15" t="n">
        <f aca="false">IFERROR(VLOOKUP(H86,Parametros!$D$5:$E$16,2,FALSE()),1)</f>
        <v>3</v>
      </c>
      <c r="S86" s="15" t="n">
        <f aca="false">IF(OR(N(O86)&gt;=Parametros!$H$9,AND(N(P86)&gt;0,N(P86)&lt;=Parametros!$H$10)),1,0)</f>
        <v>0</v>
      </c>
      <c r="T86" s="15" t="n">
        <f aca="false">Q86+R86+S86</f>
        <v>4</v>
      </c>
      <c r="U86" s="15" t="str">
        <f aca="false">IF(OR(V86="Inactive",V86="No encontrada"),"Descartada",IF(AND(T86&gt;=Parametros!$H$5,S86=1),"A",IF(T86&gt;=Parametros!$H$6,"B","C")))</f>
        <v>B</v>
      </c>
      <c r="V86" s="17" t="s">
        <v>66</v>
      </c>
      <c r="W86" s="17"/>
    </row>
    <row r="87" customFormat="false" ht="15" hidden="false" customHeight="false" outlineLevel="0" collapsed="false">
      <c r="A87" s="14" t="s">
        <v>477</v>
      </c>
      <c r="B87" s="14" t="s">
        <v>478</v>
      </c>
      <c r="C87" s="14" t="s">
        <v>471</v>
      </c>
      <c r="D87" s="14"/>
      <c r="E87" s="14" t="s">
        <v>9</v>
      </c>
      <c r="F87" s="14" t="s">
        <v>252</v>
      </c>
      <c r="G87" s="15" t="s">
        <v>103</v>
      </c>
      <c r="H87" s="14" t="s">
        <v>104</v>
      </c>
      <c r="I87" s="14" t="s">
        <v>61</v>
      </c>
      <c r="J87" s="14" t="s">
        <v>145</v>
      </c>
      <c r="K87" s="14" t="s">
        <v>145</v>
      </c>
      <c r="L87" s="15" t="s">
        <v>145</v>
      </c>
      <c r="M87" s="14" t="s">
        <v>443</v>
      </c>
      <c r="N87" s="16" t="s">
        <v>479</v>
      </c>
      <c r="O87" s="15"/>
      <c r="P87" s="15"/>
      <c r="Q87" s="15" t="n">
        <f aca="false">IFERROR(VLOOKUP(J87,Parametros!$A$5:$B$9,2,FALSE()),0)</f>
        <v>1</v>
      </c>
      <c r="R87" s="15" t="n">
        <f aca="false">IFERROR(VLOOKUP(H87,Parametros!$D$5:$E$16,2,FALSE()),1)</f>
        <v>3</v>
      </c>
      <c r="S87" s="15" t="n">
        <f aca="false">IF(OR(N(O87)&gt;=Parametros!$H$9,AND(N(P87)&gt;0,N(P87)&lt;=Parametros!$H$10)),1,0)</f>
        <v>0</v>
      </c>
      <c r="T87" s="15" t="n">
        <f aca="false">Q87+R87+S87</f>
        <v>4</v>
      </c>
      <c r="U87" s="15" t="str">
        <f aca="false">IF(OR(V87="Inactive",V87="No encontrada"),"Descartada",IF(AND(T87&gt;=Parametros!$H$5,S87=1),"A",IF(T87&gt;=Parametros!$H$6,"B","C")))</f>
        <v>B</v>
      </c>
      <c r="V87" s="17" t="s">
        <v>66</v>
      </c>
      <c r="W87" s="17"/>
    </row>
    <row r="88" customFormat="false" ht="15" hidden="false" customHeight="false" outlineLevel="0" collapsed="false">
      <c r="A88" s="14" t="s">
        <v>480</v>
      </c>
      <c r="B88" s="14" t="s">
        <v>481</v>
      </c>
      <c r="C88" s="14" t="s">
        <v>471</v>
      </c>
      <c r="D88" s="14"/>
      <c r="E88" s="14" t="s">
        <v>9</v>
      </c>
      <c r="F88" s="14" t="s">
        <v>482</v>
      </c>
      <c r="G88" s="15" t="s">
        <v>103</v>
      </c>
      <c r="H88" s="14" t="s">
        <v>104</v>
      </c>
      <c r="I88" s="14" t="s">
        <v>61</v>
      </c>
      <c r="J88" s="14" t="s">
        <v>145</v>
      </c>
      <c r="K88" s="14" t="s">
        <v>145</v>
      </c>
      <c r="L88" s="15" t="s">
        <v>145</v>
      </c>
      <c r="M88" s="14" t="s">
        <v>443</v>
      </c>
      <c r="N88" s="16" t="s">
        <v>483</v>
      </c>
      <c r="O88" s="15"/>
      <c r="P88" s="15"/>
      <c r="Q88" s="15" t="n">
        <f aca="false">IFERROR(VLOOKUP(J88,Parametros!$A$5:$B$9,2,FALSE()),0)</f>
        <v>1</v>
      </c>
      <c r="R88" s="15" t="n">
        <f aca="false">IFERROR(VLOOKUP(H88,Parametros!$D$5:$E$16,2,FALSE()),1)</f>
        <v>3</v>
      </c>
      <c r="S88" s="15" t="n">
        <f aca="false">IF(OR(N(O88)&gt;=Parametros!$H$9,AND(N(P88)&gt;0,N(P88)&lt;=Parametros!$H$10)),1,0)</f>
        <v>0</v>
      </c>
      <c r="T88" s="15" t="n">
        <f aca="false">Q88+R88+S88</f>
        <v>4</v>
      </c>
      <c r="U88" s="15" t="str">
        <f aca="false">IF(OR(V88="Inactive",V88="No encontrada"),"Descartada",IF(AND(T88&gt;=Parametros!$H$5,S88=1),"A",IF(T88&gt;=Parametros!$H$6,"B","C")))</f>
        <v>B</v>
      </c>
      <c r="V88" s="17" t="s">
        <v>66</v>
      </c>
      <c r="W88" s="17"/>
    </row>
    <row r="89" customFormat="false" ht="15" hidden="false" customHeight="false" outlineLevel="0" collapsed="false">
      <c r="A89" s="14" t="s">
        <v>484</v>
      </c>
      <c r="B89" s="14" t="s">
        <v>485</v>
      </c>
      <c r="C89" s="14" t="s">
        <v>486</v>
      </c>
      <c r="D89" s="14"/>
      <c r="E89" s="14" t="s">
        <v>9</v>
      </c>
      <c r="F89" s="14" t="s">
        <v>487</v>
      </c>
      <c r="G89" s="15" t="s">
        <v>488</v>
      </c>
      <c r="H89" s="14" t="s">
        <v>489</v>
      </c>
      <c r="I89" s="14" t="s">
        <v>61</v>
      </c>
      <c r="J89" s="14" t="s">
        <v>145</v>
      </c>
      <c r="K89" s="14" t="s">
        <v>145</v>
      </c>
      <c r="L89" s="15" t="s">
        <v>145</v>
      </c>
      <c r="M89" s="14" t="s">
        <v>490</v>
      </c>
      <c r="N89" s="16" t="s">
        <v>491</v>
      </c>
      <c r="O89" s="15" t="n">
        <v>11</v>
      </c>
      <c r="P89" s="15"/>
      <c r="Q89" s="15" t="n">
        <f aca="false">IFERROR(VLOOKUP(J89,Parametros!$A$5:$B$9,2,FALSE()),0)</f>
        <v>1</v>
      </c>
      <c r="R89" s="15" t="n">
        <f aca="false">IFERROR(VLOOKUP(H89,Parametros!$D$5:$E$16,2,FALSE()),1)</f>
        <v>2</v>
      </c>
      <c r="S89" s="15" t="n">
        <f aca="false">IF(OR(N(O89)&gt;=Parametros!$H$9,AND(N(P89)&gt;0,N(P89)&lt;=Parametros!$H$10)),1,0)</f>
        <v>1</v>
      </c>
      <c r="T89" s="15" t="n">
        <f aca="false">Q89+R89+S89</f>
        <v>4</v>
      </c>
      <c r="U89" s="15" t="str">
        <f aca="false">IF(OR(V89="Inactive",V89="No encontrada"),"Descartada",IF(AND(T89&gt;=Parametros!$H$5,S89=1),"A",IF(T89&gt;=Parametros!$H$6,"B","C")))</f>
        <v>B</v>
      </c>
      <c r="V89" s="17" t="s">
        <v>66</v>
      </c>
      <c r="W89" s="17"/>
    </row>
    <row r="90" customFormat="false" ht="15" hidden="false" customHeight="false" outlineLevel="0" collapsed="false">
      <c r="A90" s="14" t="s">
        <v>492</v>
      </c>
      <c r="B90" s="14" t="s">
        <v>493</v>
      </c>
      <c r="C90" s="14" t="s">
        <v>486</v>
      </c>
      <c r="D90" s="14"/>
      <c r="E90" s="14" t="s">
        <v>9</v>
      </c>
      <c r="F90" s="14" t="s">
        <v>487</v>
      </c>
      <c r="G90" s="15" t="s">
        <v>488</v>
      </c>
      <c r="H90" s="14" t="s">
        <v>489</v>
      </c>
      <c r="I90" s="14" t="s">
        <v>87</v>
      </c>
      <c r="J90" s="14" t="s">
        <v>145</v>
      </c>
      <c r="K90" s="14" t="s">
        <v>145</v>
      </c>
      <c r="L90" s="15" t="s">
        <v>145</v>
      </c>
      <c r="M90" s="14" t="s">
        <v>494</v>
      </c>
      <c r="N90" s="16" t="s">
        <v>495</v>
      </c>
      <c r="O90" s="15" t="n">
        <v>5</v>
      </c>
      <c r="P90" s="15"/>
      <c r="Q90" s="15" t="n">
        <f aca="false">IFERROR(VLOOKUP(J90,Parametros!$A$5:$B$9,2,FALSE()),0)</f>
        <v>1</v>
      </c>
      <c r="R90" s="15" t="n">
        <f aca="false">IFERROR(VLOOKUP(H90,Parametros!$D$5:$E$16,2,FALSE()),1)</f>
        <v>2</v>
      </c>
      <c r="S90" s="15" t="n">
        <f aca="false">IF(OR(N(O90)&gt;=Parametros!$H$9,AND(N(P90)&gt;0,N(P90)&lt;=Parametros!$H$10)),1,0)</f>
        <v>0</v>
      </c>
      <c r="T90" s="15" t="n">
        <f aca="false">Q90+R90+S90</f>
        <v>3</v>
      </c>
      <c r="U90" s="15" t="str">
        <f aca="false">IF(OR(V90="Inactive",V90="No encontrada"),"Descartada",IF(AND(T90&gt;=Parametros!$H$5,S90=1),"A",IF(T90&gt;=Parametros!$H$6,"B","C")))</f>
        <v>C</v>
      </c>
      <c r="V90" s="17" t="s">
        <v>66</v>
      </c>
      <c r="W90" s="17"/>
    </row>
    <row r="91" customFormat="false" ht="15" hidden="false" customHeight="false" outlineLevel="0" collapsed="false">
      <c r="A91" s="14" t="s">
        <v>496</v>
      </c>
      <c r="B91" s="14" t="s">
        <v>497</v>
      </c>
      <c r="C91" s="14" t="s">
        <v>486</v>
      </c>
      <c r="D91" s="14"/>
      <c r="E91" s="14" t="s">
        <v>9</v>
      </c>
      <c r="F91" s="14" t="s">
        <v>487</v>
      </c>
      <c r="G91" s="15" t="s">
        <v>488</v>
      </c>
      <c r="H91" s="14" t="s">
        <v>489</v>
      </c>
      <c r="I91" s="14" t="s">
        <v>61</v>
      </c>
      <c r="J91" s="14" t="s">
        <v>145</v>
      </c>
      <c r="K91" s="14" t="s">
        <v>145</v>
      </c>
      <c r="L91" s="15" t="s">
        <v>145</v>
      </c>
      <c r="M91" s="14" t="s">
        <v>498</v>
      </c>
      <c r="N91" s="16" t="s">
        <v>499</v>
      </c>
      <c r="O91" s="15" t="n">
        <v>7</v>
      </c>
      <c r="P91" s="15"/>
      <c r="Q91" s="15" t="n">
        <f aca="false">IFERROR(VLOOKUP(J91,Parametros!$A$5:$B$9,2,FALSE()),0)</f>
        <v>1</v>
      </c>
      <c r="R91" s="15" t="n">
        <f aca="false">IFERROR(VLOOKUP(H91,Parametros!$D$5:$E$16,2,FALSE()),1)</f>
        <v>2</v>
      </c>
      <c r="S91" s="15" t="n">
        <f aca="false">IF(OR(N(O91)&gt;=Parametros!$H$9,AND(N(P91)&gt;0,N(P91)&lt;=Parametros!$H$10)),1,0)</f>
        <v>0</v>
      </c>
      <c r="T91" s="15" t="n">
        <f aca="false">Q91+R91+S91</f>
        <v>3</v>
      </c>
      <c r="U91" s="15" t="str">
        <f aca="false">IF(OR(V91="Inactive",V91="No encontrada"),"Descartada",IF(AND(T91&gt;=Parametros!$H$5,S91=1),"A",IF(T91&gt;=Parametros!$H$6,"B","C")))</f>
        <v>C</v>
      </c>
      <c r="V91" s="17" t="s">
        <v>66</v>
      </c>
      <c r="W91" s="17"/>
    </row>
    <row r="92" customFormat="false" ht="15" hidden="false" customHeight="false" outlineLevel="0" collapsed="false">
      <c r="A92" s="14" t="s">
        <v>500</v>
      </c>
      <c r="B92" s="14" t="s">
        <v>501</v>
      </c>
      <c r="C92" s="14" t="s">
        <v>486</v>
      </c>
      <c r="D92" s="14"/>
      <c r="E92" s="14" t="s">
        <v>9</v>
      </c>
      <c r="F92" s="14" t="s">
        <v>487</v>
      </c>
      <c r="G92" s="15" t="s">
        <v>488</v>
      </c>
      <c r="H92" s="14" t="s">
        <v>489</v>
      </c>
      <c r="I92" s="14" t="s">
        <v>72</v>
      </c>
      <c r="J92" s="14" t="s">
        <v>145</v>
      </c>
      <c r="K92" s="14" t="s">
        <v>145</v>
      </c>
      <c r="L92" s="15" t="s">
        <v>145</v>
      </c>
      <c r="M92" s="14" t="s">
        <v>502</v>
      </c>
      <c r="N92" s="16" t="s">
        <v>503</v>
      </c>
      <c r="O92" s="15" t="n">
        <v>2</v>
      </c>
      <c r="P92" s="15"/>
      <c r="Q92" s="15" t="n">
        <f aca="false">IFERROR(VLOOKUP(J92,Parametros!$A$5:$B$9,2,FALSE()),0)</f>
        <v>1</v>
      </c>
      <c r="R92" s="15" t="n">
        <f aca="false">IFERROR(VLOOKUP(H92,Parametros!$D$5:$E$16,2,FALSE()),1)</f>
        <v>2</v>
      </c>
      <c r="S92" s="15" t="n">
        <f aca="false">IF(OR(N(O92)&gt;=Parametros!$H$9,AND(N(P92)&gt;0,N(P92)&lt;=Parametros!$H$10)),1,0)</f>
        <v>0</v>
      </c>
      <c r="T92" s="15" t="n">
        <f aca="false">Q92+R92+S92</f>
        <v>3</v>
      </c>
      <c r="U92" s="15" t="str">
        <f aca="false">IF(OR(V92="Inactive",V92="No encontrada"),"Descartada",IF(AND(T92&gt;=Parametros!$H$5,S92=1),"A",IF(T92&gt;=Parametros!$H$6,"B","C")))</f>
        <v>C</v>
      </c>
      <c r="V92" s="17" t="s">
        <v>66</v>
      </c>
      <c r="W92" s="17"/>
    </row>
    <row r="93" customFormat="false" ht="15" hidden="false" customHeight="false" outlineLevel="0" collapsed="false">
      <c r="A93" s="14" t="s">
        <v>504</v>
      </c>
      <c r="B93" s="14" t="s">
        <v>505</v>
      </c>
      <c r="C93" s="14" t="s">
        <v>486</v>
      </c>
      <c r="D93" s="14"/>
      <c r="E93" s="14" t="s">
        <v>9</v>
      </c>
      <c r="F93" s="14" t="s">
        <v>487</v>
      </c>
      <c r="G93" s="15" t="s">
        <v>488</v>
      </c>
      <c r="H93" s="14" t="s">
        <v>489</v>
      </c>
      <c r="I93" s="14" t="s">
        <v>72</v>
      </c>
      <c r="J93" s="14" t="s">
        <v>145</v>
      </c>
      <c r="K93" s="14" t="s">
        <v>145</v>
      </c>
      <c r="L93" s="15" t="s">
        <v>145</v>
      </c>
      <c r="M93" s="14" t="s">
        <v>443</v>
      </c>
      <c r="N93" s="16" t="s">
        <v>506</v>
      </c>
      <c r="O93" s="15"/>
      <c r="P93" s="15"/>
      <c r="Q93" s="15" t="n">
        <f aca="false">IFERROR(VLOOKUP(J93,Parametros!$A$5:$B$9,2,FALSE()),0)</f>
        <v>1</v>
      </c>
      <c r="R93" s="15" t="n">
        <f aca="false">IFERROR(VLOOKUP(H93,Parametros!$D$5:$E$16,2,FALSE()),1)</f>
        <v>2</v>
      </c>
      <c r="S93" s="15" t="n">
        <f aca="false">IF(OR(N(O93)&gt;=Parametros!$H$9,AND(N(P93)&gt;0,N(P93)&lt;=Parametros!$H$10)),1,0)</f>
        <v>0</v>
      </c>
      <c r="T93" s="15" t="n">
        <f aca="false">Q93+R93+S93</f>
        <v>3</v>
      </c>
      <c r="U93" s="15" t="str">
        <f aca="false">IF(OR(V93="Inactive",V93="No encontrada"),"Descartada",IF(AND(T93&gt;=Parametros!$H$5,S93=1),"A",IF(T93&gt;=Parametros!$H$6,"B","C")))</f>
        <v>C</v>
      </c>
      <c r="V93" s="17" t="s">
        <v>66</v>
      </c>
      <c r="W93" s="17"/>
    </row>
    <row r="94" customFormat="false" ht="15" hidden="false" customHeight="false" outlineLevel="0" collapsed="false">
      <c r="A94" s="14" t="s">
        <v>507</v>
      </c>
      <c r="B94" s="14" t="s">
        <v>508</v>
      </c>
      <c r="C94" s="14" t="s">
        <v>509</v>
      </c>
      <c r="D94" s="14"/>
      <c r="E94" s="14" t="s">
        <v>6</v>
      </c>
      <c r="F94" s="14" t="s">
        <v>182</v>
      </c>
      <c r="G94" s="15" t="s">
        <v>95</v>
      </c>
      <c r="H94" s="14" t="s">
        <v>96</v>
      </c>
      <c r="I94" s="14" t="s">
        <v>61</v>
      </c>
      <c r="J94" s="14" t="s">
        <v>145</v>
      </c>
      <c r="K94" s="14" t="s">
        <v>145</v>
      </c>
      <c r="L94" s="15" t="s">
        <v>145</v>
      </c>
      <c r="M94" s="14" t="s">
        <v>510</v>
      </c>
      <c r="N94" s="16" t="s">
        <v>511</v>
      </c>
      <c r="O94" s="15" t="n">
        <v>7</v>
      </c>
      <c r="P94" s="15"/>
      <c r="Q94" s="15" t="n">
        <f aca="false">IFERROR(VLOOKUP(J94,Parametros!$A$5:$B$9,2,FALSE()),0)</f>
        <v>1</v>
      </c>
      <c r="R94" s="15" t="n">
        <f aca="false">IFERROR(VLOOKUP(H94,Parametros!$D$5:$E$16,2,FALSE()),1)</f>
        <v>3</v>
      </c>
      <c r="S94" s="15" t="n">
        <f aca="false">IF(OR(N(O94)&gt;=Parametros!$H$9,AND(N(P94)&gt;0,N(P94)&lt;=Parametros!$H$10)),1,0)</f>
        <v>0</v>
      </c>
      <c r="T94" s="15" t="n">
        <f aca="false">Q94+R94+S94</f>
        <v>4</v>
      </c>
      <c r="U94" s="15" t="str">
        <f aca="false">IF(OR(V94="Inactive",V94="No encontrada"),"Descartada",IF(AND(T94&gt;=Parametros!$H$5,S94=1),"A",IF(T94&gt;=Parametros!$H$6,"B","C")))</f>
        <v>B</v>
      </c>
      <c r="V94" s="17" t="s">
        <v>66</v>
      </c>
      <c r="W94" s="17"/>
    </row>
    <row r="95" customFormat="false" ht="15" hidden="false" customHeight="false" outlineLevel="0" collapsed="false">
      <c r="A95" s="14" t="s">
        <v>512</v>
      </c>
      <c r="B95" s="14" t="s">
        <v>513</v>
      </c>
      <c r="C95" s="14" t="s">
        <v>509</v>
      </c>
      <c r="D95" s="14"/>
      <c r="E95" s="14" t="s">
        <v>6</v>
      </c>
      <c r="F95" s="14" t="s">
        <v>182</v>
      </c>
      <c r="G95" s="15" t="s">
        <v>95</v>
      </c>
      <c r="H95" s="14" t="s">
        <v>96</v>
      </c>
      <c r="I95" s="14" t="s">
        <v>61</v>
      </c>
      <c r="J95" s="14" t="s">
        <v>145</v>
      </c>
      <c r="K95" s="14" t="s">
        <v>145</v>
      </c>
      <c r="L95" s="15" t="s">
        <v>145</v>
      </c>
      <c r="M95" s="14" t="s">
        <v>514</v>
      </c>
      <c r="N95" s="16" t="s">
        <v>515</v>
      </c>
      <c r="O95" s="15"/>
      <c r="P95" s="15"/>
      <c r="Q95" s="15" t="n">
        <f aca="false">IFERROR(VLOOKUP(J95,Parametros!$A$5:$B$9,2,FALSE()),0)</f>
        <v>1</v>
      </c>
      <c r="R95" s="15" t="n">
        <f aca="false">IFERROR(VLOOKUP(H95,Parametros!$D$5:$E$16,2,FALSE()),1)</f>
        <v>3</v>
      </c>
      <c r="S95" s="15" t="n">
        <f aca="false">IF(OR(N(O95)&gt;=Parametros!$H$9,AND(N(P95)&gt;0,N(P95)&lt;=Parametros!$H$10)),1,0)</f>
        <v>0</v>
      </c>
      <c r="T95" s="15" t="n">
        <f aca="false">Q95+R95+S95</f>
        <v>4</v>
      </c>
      <c r="U95" s="15" t="str">
        <f aca="false">IF(OR(V95="Inactive",V95="No encontrada"),"Descartada",IF(AND(T95&gt;=Parametros!$H$5,S95=1),"A",IF(T95&gt;=Parametros!$H$6,"B","C")))</f>
        <v>B</v>
      </c>
      <c r="V95" s="17" t="s">
        <v>66</v>
      </c>
      <c r="W95" s="17"/>
    </row>
    <row r="96" customFormat="false" ht="15" hidden="false" customHeight="false" outlineLevel="0" collapsed="false">
      <c r="A96" s="14" t="s">
        <v>516</v>
      </c>
      <c r="B96" s="14" t="s">
        <v>517</v>
      </c>
      <c r="C96" s="14" t="s">
        <v>509</v>
      </c>
      <c r="D96" s="14"/>
      <c r="E96" s="14" t="s">
        <v>6</v>
      </c>
      <c r="F96" s="14" t="s">
        <v>182</v>
      </c>
      <c r="G96" s="15" t="s">
        <v>95</v>
      </c>
      <c r="H96" s="14" t="s">
        <v>96</v>
      </c>
      <c r="I96" s="14" t="s">
        <v>61</v>
      </c>
      <c r="J96" s="14" t="s">
        <v>145</v>
      </c>
      <c r="K96" s="14" t="s">
        <v>145</v>
      </c>
      <c r="L96" s="15" t="s">
        <v>145</v>
      </c>
      <c r="M96" s="14" t="s">
        <v>518</v>
      </c>
      <c r="N96" s="16" t="s">
        <v>519</v>
      </c>
      <c r="O96" s="15"/>
      <c r="P96" s="15"/>
      <c r="Q96" s="15" t="n">
        <f aca="false">IFERROR(VLOOKUP(J96,Parametros!$A$5:$B$9,2,FALSE()),0)</f>
        <v>1</v>
      </c>
      <c r="R96" s="15" t="n">
        <f aca="false">IFERROR(VLOOKUP(H96,Parametros!$D$5:$E$16,2,FALSE()),1)</f>
        <v>3</v>
      </c>
      <c r="S96" s="15" t="n">
        <f aca="false">IF(OR(N(O96)&gt;=Parametros!$H$9,AND(N(P96)&gt;0,N(P96)&lt;=Parametros!$H$10)),1,0)</f>
        <v>0</v>
      </c>
      <c r="T96" s="15" t="n">
        <f aca="false">Q96+R96+S96</f>
        <v>4</v>
      </c>
      <c r="U96" s="15" t="str">
        <f aca="false">IF(OR(V96="Inactive",V96="No encontrada"),"Descartada",IF(AND(T96&gt;=Parametros!$H$5,S96=1),"A",IF(T96&gt;=Parametros!$H$6,"B","C")))</f>
        <v>B</v>
      </c>
      <c r="V96" s="17" t="s">
        <v>66</v>
      </c>
      <c r="W96" s="17"/>
    </row>
    <row r="97" customFormat="false" ht="15" hidden="false" customHeight="false" outlineLevel="0" collapsed="false">
      <c r="A97" s="14" t="s">
        <v>520</v>
      </c>
      <c r="B97" s="14" t="s">
        <v>521</v>
      </c>
      <c r="C97" s="14" t="s">
        <v>509</v>
      </c>
      <c r="D97" s="14"/>
      <c r="E97" s="14" t="s">
        <v>6</v>
      </c>
      <c r="F97" s="14" t="s">
        <v>182</v>
      </c>
      <c r="G97" s="15" t="s">
        <v>95</v>
      </c>
      <c r="H97" s="14" t="s">
        <v>96</v>
      </c>
      <c r="I97" s="14" t="s">
        <v>145</v>
      </c>
      <c r="J97" s="14" t="s">
        <v>145</v>
      </c>
      <c r="K97" s="14" t="s">
        <v>145</v>
      </c>
      <c r="L97" s="15" t="s">
        <v>145</v>
      </c>
      <c r="M97" s="14" t="s">
        <v>443</v>
      </c>
      <c r="N97" s="16" t="s">
        <v>522</v>
      </c>
      <c r="O97" s="15"/>
      <c r="P97" s="15"/>
      <c r="Q97" s="15" t="n">
        <f aca="false">IFERROR(VLOOKUP(J97,Parametros!$A$5:$B$9,2,FALSE()),0)</f>
        <v>1</v>
      </c>
      <c r="R97" s="15" t="n">
        <f aca="false">IFERROR(VLOOKUP(H97,Parametros!$D$5:$E$16,2,FALSE()),1)</f>
        <v>3</v>
      </c>
      <c r="S97" s="15" t="n">
        <f aca="false">IF(OR(N(O97)&gt;=Parametros!$H$9,AND(N(P97)&gt;0,N(P97)&lt;=Parametros!$H$10)),1,0)</f>
        <v>0</v>
      </c>
      <c r="T97" s="15" t="n">
        <f aca="false">Q97+R97+S97</f>
        <v>4</v>
      </c>
      <c r="U97" s="15" t="str">
        <f aca="false">IF(OR(V97="Inactive",V97="No encontrada"),"Descartada",IF(AND(T97&gt;=Parametros!$H$5,S97=1),"A",IF(T97&gt;=Parametros!$H$6,"B","C")))</f>
        <v>B</v>
      </c>
      <c r="V97" s="17" t="s">
        <v>66</v>
      </c>
      <c r="W97" s="17"/>
    </row>
    <row r="98" customFormat="false" ht="15" hidden="false" customHeight="false" outlineLevel="0" collapsed="false">
      <c r="A98" s="14" t="s">
        <v>523</v>
      </c>
      <c r="B98" s="14" t="s">
        <v>524</v>
      </c>
      <c r="C98" s="14" t="s">
        <v>525</v>
      </c>
      <c r="D98" s="14"/>
      <c r="E98" s="14" t="s">
        <v>6</v>
      </c>
      <c r="F98" s="14" t="s">
        <v>182</v>
      </c>
      <c r="G98" s="15" t="s">
        <v>95</v>
      </c>
      <c r="H98" s="14" t="s">
        <v>96</v>
      </c>
      <c r="I98" s="14" t="s">
        <v>145</v>
      </c>
      <c r="J98" s="14" t="s">
        <v>145</v>
      </c>
      <c r="K98" s="14" t="s">
        <v>145</v>
      </c>
      <c r="L98" s="15" t="s">
        <v>145</v>
      </c>
      <c r="M98" s="14" t="s">
        <v>443</v>
      </c>
      <c r="N98" s="16" t="s">
        <v>526</v>
      </c>
      <c r="O98" s="15"/>
      <c r="P98" s="15"/>
      <c r="Q98" s="15" t="n">
        <f aca="false">IFERROR(VLOOKUP(J98,Parametros!$A$5:$B$9,2,FALSE()),0)</f>
        <v>1</v>
      </c>
      <c r="R98" s="15" t="n">
        <f aca="false">IFERROR(VLOOKUP(H98,Parametros!$D$5:$E$16,2,FALSE()),1)</f>
        <v>3</v>
      </c>
      <c r="S98" s="15" t="n">
        <f aca="false">IF(OR(N(O98)&gt;=Parametros!$H$9,AND(N(P98)&gt;0,N(P98)&lt;=Parametros!$H$10)),1,0)</f>
        <v>0</v>
      </c>
      <c r="T98" s="15" t="n">
        <f aca="false">Q98+R98+S98</f>
        <v>4</v>
      </c>
      <c r="U98" s="15" t="str">
        <f aca="false">IF(OR(V98="Inactive",V98="No encontrada"),"Descartada",IF(AND(T98&gt;=Parametros!$H$5,S98=1),"A",IF(T98&gt;=Parametros!$H$6,"B","C")))</f>
        <v>B</v>
      </c>
      <c r="V98" s="17" t="s">
        <v>66</v>
      </c>
      <c r="W98" s="17"/>
    </row>
    <row r="99" customFormat="false" ht="15" hidden="false" customHeight="false" outlineLevel="0" collapsed="false">
      <c r="A99" s="14" t="s">
        <v>527</v>
      </c>
      <c r="B99" s="14" t="s">
        <v>528</v>
      </c>
      <c r="C99" s="14" t="s">
        <v>529</v>
      </c>
      <c r="D99" s="14"/>
      <c r="E99" s="14" t="s">
        <v>6</v>
      </c>
      <c r="F99" s="14" t="s">
        <v>182</v>
      </c>
      <c r="G99" s="15" t="s">
        <v>95</v>
      </c>
      <c r="H99" s="14" t="s">
        <v>96</v>
      </c>
      <c r="I99" s="14" t="s">
        <v>145</v>
      </c>
      <c r="J99" s="14" t="s">
        <v>145</v>
      </c>
      <c r="K99" s="14" t="s">
        <v>145</v>
      </c>
      <c r="L99" s="15" t="s">
        <v>145</v>
      </c>
      <c r="M99" s="14" t="s">
        <v>443</v>
      </c>
      <c r="N99" s="16" t="s">
        <v>530</v>
      </c>
      <c r="O99" s="15"/>
      <c r="P99" s="15"/>
      <c r="Q99" s="15" t="n">
        <f aca="false">IFERROR(VLOOKUP(J99,Parametros!$A$5:$B$9,2,FALSE()),0)</f>
        <v>1</v>
      </c>
      <c r="R99" s="15" t="n">
        <f aca="false">IFERROR(VLOOKUP(H99,Parametros!$D$5:$E$16,2,FALSE()),1)</f>
        <v>3</v>
      </c>
      <c r="S99" s="15" t="n">
        <f aca="false">IF(OR(N(O99)&gt;=Parametros!$H$9,AND(N(P99)&gt;0,N(P99)&lt;=Parametros!$H$10)),1,0)</f>
        <v>0</v>
      </c>
      <c r="T99" s="15" t="n">
        <f aca="false">Q99+R99+S99</f>
        <v>4</v>
      </c>
      <c r="U99" s="15" t="str">
        <f aca="false">IF(OR(V99="Inactive",V99="No encontrada"),"Descartada",IF(AND(T99&gt;=Parametros!$H$5,S99=1),"A",IF(T99&gt;=Parametros!$H$6,"B","C")))</f>
        <v>B</v>
      </c>
      <c r="V99" s="17" t="s">
        <v>66</v>
      </c>
      <c r="W99" s="17"/>
    </row>
  </sheetData>
  <autoFilter ref="A4:W99"/>
  <conditionalFormatting sqref="U5:U99">
    <cfRule type="cellIs" priority="2" operator="equal" aboveAverage="0" equalAverage="0" bottom="0" percent="0" rank="0" text="" dxfId="8">
      <formula>"A"</formula>
    </cfRule>
    <cfRule type="cellIs" priority="3" operator="equal" aboveAverage="0" equalAverage="0" bottom="0" percent="0" rank="0" text="" dxfId="9">
      <formula>"B"</formula>
    </cfRule>
  </conditionalFormatting>
  <conditionalFormatting sqref="J5:J99">
    <cfRule type="expression" priority="4" aboveAverage="0" equalAverage="0" bottom="0" percent="0" rank="0" text="" dxfId="10">
      <formula>OR(J5="Sin sitio web",J5="Sitio obsoleto")</formula>
    </cfRule>
  </conditionalFormatting>
  <dataValidations count="2">
    <dataValidation allowBlank="true" errorStyle="stop" operator="between" showDropDown="false" showErrorMessage="false" showInputMessage="false" sqref="V5:V99" type="list">
      <formula1>"Active,Inactive,Pendiente,No encontrada"</formula1>
      <formula2>0</formula2>
    </dataValidation>
    <dataValidation allowBlank="true" errorStyle="stop" operator="between" showDropDown="false" showErrorMessage="false" showInputMessage="false" sqref="W5:W99" type="list">
      <formula1>"Verificar web en Google Maps,Auditoría web,Email B2B 1 a 1,Visita presencial,Descartar"</formula1>
      <formula2>0</formula2>
    </dataValidation>
  </dataValidations>
  <hyperlinks>
    <hyperlink ref="N5" r:id="rId1" display="https://www.manta.com/c/mmn1h0x/jonel-knitting-mills-inc"/>
    <hyperlink ref="N6" r:id="rId2" display="https://www.manta.com/c/mmcwr0p/steel-works-rebar-fabricators-llc"/>
    <hyperlink ref="N7" r:id="rId3" display="https://www.yellowpages.com/medley-fl/mip/all-welding-and-machine-shop-inc-474064250"/>
    <hyperlink ref="N8" r:id="rId4" display="https://search.sunbiz.org/Inquiry/CorporationSearch/ByName"/>
    <hyperlink ref="N9" r:id="rId5" display="https://www.bbb.org/us/fl/homestead/profile/paving-contractors/florida-paving-trucking-inc-0633-5003759"/>
    <hyperlink ref="N10" r:id="rId6" display="https://www.manta.com/c/mm2vydb/marante-forwarding-co-inc"/>
    <hyperlink ref="N11" r:id="rId7" display="http://www.truckbrokeragebynational.com/"/>
    <hyperlink ref="N12" r:id="rId8" display="https://www.constructgroupcorp.com/"/>
    <hyperlink ref="N13" r:id="rId9" display="https://www.buildzoom.com/contractor/professional-plumbing-corp"/>
    <hyperlink ref="N14" r:id="rId10" display="https://www.manta.com/c/mhx9tn8/aa-florida-pallets-inc"/>
    <hyperlink ref="N15" r:id="rId11" display="https://www.carriersource.io/carriers/high-quality-trucking-inc"/>
    <hyperlink ref="N16" r:id="rId12" display="https://www.facebook.com/hialeahbakery/"/>
    <hyperlink ref="N17" r:id="rId13" display="https://www.yelp.com/biz/los-tres-conejitos-bakery-hialeah"/>
    <hyperlink ref="N18" r:id="rId14" display="https://www.yelp.com/biz/tango-body-shop-hialeah"/>
    <hyperlink ref="N19" r:id="rId15" display="https://www.bbb.org/us/fl/hialeah/profile/auto-body-repair-and-painting/procollision-center-llc-0633-90024812"/>
    <hyperlink ref="N20" r:id="rId16" display="https://www.manta.com/c/mm43fmb/sari-express-forwarders-inc"/>
    <hyperlink ref="N21" r:id="rId17" display="https://www.manta.com/mb_55_B52DB05K_33S/freight_forwarding/hialeah_fl"/>
    <hyperlink ref="N22" r:id="rId18" display="https://local.yahoo.com/info-211983306-marante-distributors-corp-hialeah/"/>
    <hyperlink ref="N23" r:id="rId19" display="https://www.yelp.com/biz/medina-and-son-plumbing-supply-hialeah"/>
    <hyperlink ref="N24" r:id="rId20" display="https://www.manta.com/c/mmf1sbc/manny-s-plumbing-service"/>
    <hyperlink ref="N25" r:id="rId21" display="https://www.bbb.org/us/fl/hialeah/profile/impact-windows/all-star-aluminum-windows-doors-inc-0633-90034252"/>
    <hyperlink ref="N26" r:id="rId22" display="https://www.manta.com/c/mtqlxt4/panther-co-inc"/>
    <hyperlink ref="N27" r:id="rId23" display="https://www.yellowpages.com/medley-fl/medley-steel-and-supply-inc"/>
    <hyperlink ref="N28" r:id="rId24" display="https://www.facebook.com/amigopallets/"/>
    <hyperlink ref="N29" r:id="rId25" display="https://www.dnb.com/business-directory/company-profiles.medley_machine_shop_inc.b0232bd608d5d99948dd3a3504105627.html"/>
    <hyperlink ref="N30" r:id="rId26" display="https://www.yelp.com/biz/pablos-machine-shop-and-welding-corp-medley"/>
    <hyperlink ref="N31" r:id="rId27" display="https://www.manta.com/c/mm4dqwp/gondia-machine-shop"/>
    <hyperlink ref="N32" r:id="rId28" display="https://www.manta.com/c/mhcrbf8/super-diesel-truck-repair-inc"/>
    <hyperlink ref="N33" r:id="rId29" display="https://www.yelp.com/biz/larosa-diesel-mechanical-medley"/>
    <hyperlink ref="N34" r:id="rId30" display="https://www.yelp.com/biz/cyma-truck-repair-medley"/>
    <hyperlink ref="N35" r:id="rId31" display="https://www.manta.com/c/mm21vw1/international-cruise-food-hotel-suppliers-inc"/>
    <hyperlink ref="N36" r:id="rId32" display="https://www.allsteelproducts.com/index.html"/>
    <hyperlink ref="N37" r:id="rId33" display="https://buildingrenewable.com/12-best-precast-concrete-construction-companies-in-florida/"/>
    <hyperlink ref="N38" r:id="rId34" display="https://www.manta.com/c/mm33hkb/doral-freight-logistics-inc"/>
    <hyperlink ref="N39" r:id="rId35" display="https://www.manta.com/c/mmgmgjl/senaduana-freight-forwarders-inc"/>
    <hyperlink ref="N40" r:id="rId36" display="https://www.manta.com/c/mhks6tw/conavenca-freight-forwarder-llc"/>
    <hyperlink ref="N41" r:id="rId37" display="https://www.manta.com/c/mbg66v7/tmc-import-export-co"/>
    <hyperlink ref="N42" r:id="rId38" display="https://www.bizapedia.com/fl/barahonas-food-distributor-llc.html"/>
    <hyperlink ref="N43" r:id="rId39" display="https://www.bizapedia.com/fl/loman-distributors-inc.html"/>
    <hyperlink ref="N44" r:id="rId40" display="https://www.facebook.com/kkdentaldoral/"/>
    <hyperlink ref="N45" r:id="rId41" display="https://www.facebook.com/doralfamilydentalfl/"/>
    <hyperlink ref="N46" r:id="rId42" display="https://www.bbb.org/us/fl/miami/profile/organic-food/brothers-produce-inc-0633-90067698"/>
    <hyperlink ref="N47" r:id="rId43" display="https://www.yelp.com/biz/4-u-unlimited-miami"/>
    <hyperlink ref="N48" r:id="rId44" display="https://excellentfruitandproduce.com/about-us/"/>
    <hyperlink ref="N49" r:id="rId45" display="https://www.yelp.com/biz/martinez-distributors-miami-2"/>
    <hyperlink ref="N50" r:id="rId46" display="https://www.facebook.com/reydelasfritas/"/>
    <hyperlink ref="N51" r:id="rId47" display="https://www.neighborhoods.com/blog/cuban-restaurants-in-little-havana-you-cant-miss"/>
    <hyperlink ref="N52" r:id="rId48" display="https://www.bbb.org/us/fl/miami/profile/heating-and-air-conditioning/kendale-air-conditioning-0633-23009691"/>
    <hyperlink ref="N53" r:id="rId49" display="https://doctor.webmd.com/practice/kendall-south-medical-center-inc-422a0a48-1a37-46b1-973c-95ba062d11e3"/>
    <hyperlink ref="N54" r:id="rId50" display="https://doctor.webmd.com/practice/kendall-medical-center-inc-773643c8-4703-e211-a42b-001f29e3eb44-physicians/alpha/all"/>
    <hyperlink ref="N55" r:id="rId51" display="https://www.bbb.org/us/fl/homestead/profile/auto-repair/krome-auto-tire-svc-0633-90269976"/>
    <hyperlink ref="N56" r:id="rId52" display="https://www.facebook.com/rplantsinc/"/>
    <hyperlink ref="N57" r:id="rId53" display="https://www.manta.com/c/mvvd9cj/liner-growers-nursery"/>
    <hyperlink ref="N58" r:id="rId54" display="https://www.manta.com/mb_55_B80C105M_345/nursery_stock/homestead_fl"/>
    <hyperlink ref="N59" r:id="rId55" display="https://www.manta.com/mb_55_B80C105M_345/nursery_stock/homestead_fl"/>
    <hyperlink ref="N60" r:id="rId56" display="https://www.manta.com/mb_55_B80C105M_345/nursery_stock/homestead_fl"/>
    <hyperlink ref="N61" r:id="rId57" display="https://ediblesouthflorida.ediblecommunities.com/eat/fresh-demand-local-produce-longtime-homestead-farm/"/>
    <hyperlink ref="N62" r:id="rId58" display="https://www.yelp.com/biz/sudsies-dry-cleaners-miami-beach"/>
    <hyperlink ref="N63" r:id="rId59" display="https://www.yelp.com/biz/complete-yacht-service-fort-lauderdale"/>
    <hyperlink ref="N64" r:id="rId60" display="https://www.bbb.org/us/fl/ft-lauderdale/profile/boat-repair/superior-stainless-yacht-repair-0633-11011513"/>
    <hyperlink ref="N65" r:id="rId61" display="https://www.bbb.org/us/fl/fort-lauderdale/profile/boat-repair/top-quality-yachts-refinishing-refurbishing-0633-4006026"/>
    <hyperlink ref="N66" r:id="rId62" display="https://www.manta.com/c/mmn3jvb/complete-yacht-care-inc"/>
    <hyperlink ref="N67" r:id="rId63" display="https://www.bbb.org/us/fl/fort-lauderdale/profile/boat-repair/ship-side-service-0633-22003092"/>
    <hyperlink ref="N68" r:id="rId64" display="https://www.yelp.com/biz/shoreline-marine-pompano-beach"/>
    <hyperlink ref="N69" r:id="rId65" display="https://www.yelp.com/biz/yacht-mechanics-of-florida-fort-lauderdale"/>
    <hyperlink ref="N70" r:id="rId66" display="https://www.manta.com/c/mb5d3rb/land-sea-air-conditioning-of"/>
    <hyperlink ref="N71" r:id="rId67" display="https://www.manta.com/c/mmym5vw/million-air-conditioning-corporation"/>
    <hyperlink ref="N72" r:id="rId68" display="https://www.bbb.org/us/fl/davie/profile/major-appliance-services/first-class-air-conditioning-appliance-inc-0633-90137525"/>
    <hyperlink ref="N73" r:id="rId69" display="https://www.bbb.org/us/fl/pompano-beach/profile/auto-repair/pompano-beach-texaco-0633-35000319"/>
    <hyperlink ref="N74" r:id="rId70" display="https://www.bbb.org/us/fl/pompano-beach/profile/mobile-auto-repair/our-shop-auto-repairs-inc-0633-90426905"/>
    <hyperlink ref="N75" r:id="rId71" display="https://www.bbb.org/us/fl/pompano-beach/profile/auto-repair/fast-lane-auto-repairs-0633-90409985"/>
    <hyperlink ref="N76" r:id="rId72" display="https://www.bbb.org/us/fl/pompano-beach/profile/auto-repair/the-auto-spot-0633-90092971"/>
    <hyperlink ref="N77" r:id="rId73" display="https://www.bbb.org/us/fl/pompano-beach/profile/auto-repair/original-look-0633-90132733"/>
    <hyperlink ref="N78" r:id="rId74" display="https://www.manta.com/c/mh1g76d/marina-road-boat-yard"/>
    <hyperlink ref="N79" r:id="rId75" display="https://www.manta.com/c/mm0jvj4/yachting-bliss"/>
    <hyperlink ref="N80" r:id="rId76" display="https://www.manta.com/c/mkhwx2k/elite-yachting-solutions-llc"/>
    <hyperlink ref="N81" r:id="rId77" display="https://www.manta.com/c/m1xl2v5/s-a-marine-services-llc"/>
    <hyperlink ref="N82" r:id="rId78" display="https://www.manta.com/c/mm7f0xx/all-power-marine-boat-lifts-docks"/>
    <hyperlink ref="N83" r:id="rId79" display="https://www.manta.com/c/mr4tgvc/t-d-air-conditioning-inc"/>
    <hyperlink ref="N84" r:id="rId80" display="https://www.manta.com/c/mhw02tp/cv-ac-expert-llc"/>
    <hyperlink ref="N85" r:id="rId81" display="https://www.manta.com/c/mtq3wsd/ocean-freight-link"/>
    <hyperlink ref="N86" r:id="rId82" display="https://www.manta.com/c/mmfvqs5/promptus-llc"/>
    <hyperlink ref="N87" r:id="rId83" display="https://www.manta.com/c/mtry58n/r-k-a-xpress-inc"/>
    <hyperlink ref="N88" r:id="rId84" display="https://www.manta.com/c/mt4210t/j-j-freight-brokerage-inc"/>
    <hyperlink ref="N89" r:id="rId85" display="https://www.manta.com/c/mm08mz3/markon-realty-and-management-inc"/>
    <hyperlink ref="N90" r:id="rId86" display="https://www.manta.com/c/mw2lslb/three-js-management-corporation"/>
    <hyperlink ref="N91" r:id="rId87" display="https://www.manta.com/c/mhkhbr0/lindsay-taylor-property-management-inc"/>
    <hyperlink ref="N92" r:id="rId88" display="https://www.manta.com/c/mbybsr5/ymp-real-estate-management-llc"/>
    <hyperlink ref="N93" r:id="rId89" display="https://www.manta.com/c/mkxpthn/kryterion-property-services-llc"/>
    <hyperlink ref="N94" r:id="rId90" display="https://www.manta.com/d/mm2thx3/lasseter-plumbing-company-inc"/>
    <hyperlink ref="N95" r:id="rId91" display="https://www.manta.com/c/mtbtgz9/rocco-plumbing-inc"/>
    <hyperlink ref="N96" r:id="rId92" display="https://www.manta.com/c/mt4fd3r/malu-plumbing-inc"/>
    <hyperlink ref="N97" r:id="rId93" display="https://www.manta.com/c/mb04c42/just-plumbing"/>
    <hyperlink ref="N98" r:id="rId94" display="https://www.manta.com/c/mttg4zn/plumbing-experts"/>
    <hyperlink ref="N99" r:id="rId95" display="https://www.manta.com/c/mx0vyzw/new-england-plumbi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96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cols>
    <col collapsed="false" customWidth="true" hidden="false" outlineLevel="0" max="1" min="1" style="0" width="32.39"/>
    <col collapsed="false" customWidth="true" hidden="false" outlineLevel="0" max="10" min="2" style="0" width="14.58"/>
  </cols>
  <sheetData>
    <row r="1" customFormat="false" ht="17.35" hidden="false" customHeight="false" outlineLevel="0" collapsed="false">
      <c r="A1" s="18" t="s">
        <v>531</v>
      </c>
    </row>
    <row r="2" customFormat="false" ht="12.8" hidden="false" customHeight="false" outlineLevel="0" collapsed="false">
      <c r="A2" s="19" t="s">
        <v>532</v>
      </c>
    </row>
    <row r="4" customFormat="false" ht="12.8" hidden="false" customHeight="false" outlineLevel="0" collapsed="false">
      <c r="A4" s="20" t="s">
        <v>533</v>
      </c>
    </row>
    <row r="6" customFormat="false" ht="12.8" hidden="false" customHeight="false" outlineLevel="0" collapsed="false">
      <c r="A6" s="21" t="s">
        <v>534</v>
      </c>
      <c r="B6" s="22"/>
      <c r="C6" s="23" t="s">
        <v>41</v>
      </c>
      <c r="D6" s="24"/>
      <c r="E6" s="24"/>
      <c r="F6" s="24"/>
      <c r="G6" s="24"/>
      <c r="H6" s="25"/>
    </row>
    <row r="7" customFormat="false" ht="12.8" hidden="false" customHeight="false" outlineLevel="0" collapsed="false">
      <c r="A7" s="26" t="s">
        <v>36</v>
      </c>
      <c r="B7" s="27" t="s">
        <v>34</v>
      </c>
      <c r="C7" s="28" t="s">
        <v>145</v>
      </c>
      <c r="D7" s="29" t="s">
        <v>157</v>
      </c>
      <c r="E7" s="29" t="s">
        <v>8</v>
      </c>
      <c r="F7" s="29" t="s">
        <v>111</v>
      </c>
      <c r="G7" s="29" t="s">
        <v>140</v>
      </c>
      <c r="H7" s="30" t="s">
        <v>535</v>
      </c>
    </row>
    <row r="8" customFormat="false" ht="12.8" hidden="false" customHeight="false" outlineLevel="0" collapsed="false">
      <c r="A8" s="31" t="s">
        <v>9</v>
      </c>
      <c r="B8" s="32" t="s">
        <v>407</v>
      </c>
      <c r="C8" s="33" t="n">
        <v>2</v>
      </c>
      <c r="D8" s="34" t="n">
        <v>1</v>
      </c>
      <c r="E8" s="34" t="n">
        <v>2</v>
      </c>
      <c r="F8" s="34"/>
      <c r="G8" s="35"/>
      <c r="H8" s="36" t="n">
        <v>5</v>
      </c>
    </row>
    <row r="9" customFormat="false" ht="12.8" hidden="false" customHeight="false" outlineLevel="0" collapsed="false">
      <c r="A9" s="37"/>
      <c r="B9" s="38" t="s">
        <v>369</v>
      </c>
      <c r="C9" s="39" t="n">
        <v>1</v>
      </c>
      <c r="D9" s="40"/>
      <c r="E9" s="40" t="n">
        <v>5</v>
      </c>
      <c r="F9" s="40" t="n">
        <v>1</v>
      </c>
      <c r="G9" s="41"/>
      <c r="H9" s="42" t="n">
        <v>7</v>
      </c>
    </row>
    <row r="10" customFormat="false" ht="12.8" hidden="false" customHeight="false" outlineLevel="0" collapsed="false">
      <c r="A10" s="37"/>
      <c r="B10" s="38" t="s">
        <v>471</v>
      </c>
      <c r="C10" s="39" t="n">
        <v>4</v>
      </c>
      <c r="D10" s="40"/>
      <c r="E10" s="40"/>
      <c r="F10" s="40"/>
      <c r="G10" s="41"/>
      <c r="H10" s="42" t="n">
        <v>4</v>
      </c>
    </row>
    <row r="11" customFormat="false" ht="12.8" hidden="false" customHeight="false" outlineLevel="0" collapsed="false">
      <c r="A11" s="37"/>
      <c r="B11" s="38" t="s">
        <v>396</v>
      </c>
      <c r="C11" s="39" t="n">
        <v>7</v>
      </c>
      <c r="D11" s="40"/>
      <c r="E11" s="40" t="n">
        <v>2</v>
      </c>
      <c r="F11" s="40" t="n">
        <v>1</v>
      </c>
      <c r="G11" s="41"/>
      <c r="H11" s="42" t="n">
        <v>10</v>
      </c>
    </row>
    <row r="12" customFormat="false" ht="12.8" hidden="false" customHeight="false" outlineLevel="0" collapsed="false">
      <c r="A12" s="43"/>
      <c r="B12" s="44" t="s">
        <v>486</v>
      </c>
      <c r="C12" s="45" t="n">
        <v>5</v>
      </c>
      <c r="D12" s="46"/>
      <c r="E12" s="46"/>
      <c r="F12" s="46"/>
      <c r="G12" s="47"/>
      <c r="H12" s="48" t="n">
        <v>5</v>
      </c>
    </row>
    <row r="13" customFormat="false" ht="12.8" hidden="false" customHeight="false" outlineLevel="0" collapsed="false">
      <c r="A13" s="31" t="s">
        <v>6</v>
      </c>
      <c r="B13" s="32" t="s">
        <v>251</v>
      </c>
      <c r="C13" s="34" t="n">
        <v>5</v>
      </c>
      <c r="D13" s="34"/>
      <c r="E13" s="34"/>
      <c r="F13" s="34"/>
      <c r="G13" s="34" t="n">
        <v>3</v>
      </c>
      <c r="H13" s="36" t="n">
        <v>8</v>
      </c>
    </row>
    <row r="14" customFormat="false" ht="12.8" hidden="false" customHeight="false" outlineLevel="0" collapsed="false">
      <c r="A14" s="37"/>
      <c r="B14" s="38" t="s">
        <v>57</v>
      </c>
      <c r="C14" s="40" t="n">
        <v>6</v>
      </c>
      <c r="D14" s="40" t="n">
        <v>1</v>
      </c>
      <c r="E14" s="40" t="n">
        <v>3</v>
      </c>
      <c r="F14" s="40" t="n">
        <v>1</v>
      </c>
      <c r="G14" s="40" t="n">
        <v>3</v>
      </c>
      <c r="H14" s="42" t="n">
        <v>14</v>
      </c>
    </row>
    <row r="15" customFormat="false" ht="12.8" hidden="false" customHeight="false" outlineLevel="0" collapsed="false">
      <c r="A15" s="37"/>
      <c r="B15" s="38" t="s">
        <v>116</v>
      </c>
      <c r="C15" s="40"/>
      <c r="D15" s="40"/>
      <c r="E15" s="40"/>
      <c r="F15" s="40" t="n">
        <v>1</v>
      </c>
      <c r="G15" s="40"/>
      <c r="H15" s="42" t="n">
        <v>1</v>
      </c>
    </row>
    <row r="16" customFormat="false" ht="12.8" hidden="false" customHeight="false" outlineLevel="0" collapsed="false">
      <c r="A16" s="37"/>
      <c r="B16" s="38" t="s">
        <v>93</v>
      </c>
      <c r="C16" s="40" t="n">
        <v>5</v>
      </c>
      <c r="D16" s="40"/>
      <c r="E16" s="40" t="n">
        <v>1</v>
      </c>
      <c r="F16" s="40"/>
      <c r="G16" s="40" t="n">
        <v>2</v>
      </c>
      <c r="H16" s="42" t="n">
        <v>8</v>
      </c>
    </row>
    <row r="17" customFormat="false" ht="12.8" hidden="false" customHeight="false" outlineLevel="0" collapsed="false">
      <c r="A17" s="37"/>
      <c r="B17" s="38" t="s">
        <v>319</v>
      </c>
      <c r="C17" s="40" t="n">
        <v>2</v>
      </c>
      <c r="D17" s="40"/>
      <c r="E17" s="40"/>
      <c r="F17" s="40"/>
      <c r="G17" s="40" t="n">
        <v>1</v>
      </c>
      <c r="H17" s="42" t="n">
        <v>3</v>
      </c>
    </row>
    <row r="18" customFormat="false" ht="12.8" hidden="false" customHeight="false" outlineLevel="0" collapsed="false">
      <c r="A18" s="37"/>
      <c r="B18" s="38" t="s">
        <v>69</v>
      </c>
      <c r="C18" s="40" t="n">
        <v>4</v>
      </c>
      <c r="D18" s="40" t="n">
        <v>1</v>
      </c>
      <c r="E18" s="40" t="n">
        <v>2</v>
      </c>
      <c r="F18" s="40" t="n">
        <v>4</v>
      </c>
      <c r="G18" s="40" t="n">
        <v>6</v>
      </c>
      <c r="H18" s="42" t="n">
        <v>17</v>
      </c>
    </row>
    <row r="19" customFormat="false" ht="12.8" hidden="false" customHeight="false" outlineLevel="0" collapsed="false">
      <c r="A19" s="37"/>
      <c r="B19" s="38" t="s">
        <v>288</v>
      </c>
      <c r="C19" s="40" t="n">
        <v>2</v>
      </c>
      <c r="D19" s="40"/>
      <c r="E19" s="40"/>
      <c r="F19" s="40"/>
      <c r="G19" s="40" t="n">
        <v>4</v>
      </c>
      <c r="H19" s="42" t="n">
        <v>6</v>
      </c>
    </row>
    <row r="20" customFormat="false" ht="12.8" hidden="false" customHeight="false" outlineLevel="0" collapsed="false">
      <c r="A20" s="37"/>
      <c r="B20" s="38" t="s">
        <v>363</v>
      </c>
      <c r="C20" s="40" t="n">
        <v>1</v>
      </c>
      <c r="D20" s="40"/>
      <c r="E20" s="40"/>
      <c r="F20" s="40"/>
      <c r="G20" s="40"/>
      <c r="H20" s="42" t="n">
        <v>1</v>
      </c>
    </row>
    <row r="21" customFormat="false" ht="12.8" hidden="false" customHeight="false" outlineLevel="0" collapsed="false">
      <c r="A21" s="37"/>
      <c r="B21" s="38" t="s">
        <v>529</v>
      </c>
      <c r="C21" s="40" t="n">
        <v>1</v>
      </c>
      <c r="D21" s="40"/>
      <c r="E21" s="40"/>
      <c r="F21" s="40"/>
      <c r="G21" s="40"/>
      <c r="H21" s="42" t="n">
        <v>1</v>
      </c>
    </row>
    <row r="22" customFormat="false" ht="12.8" hidden="false" customHeight="false" outlineLevel="0" collapsed="false">
      <c r="A22" s="37"/>
      <c r="B22" s="38" t="s">
        <v>509</v>
      </c>
      <c r="C22" s="40" t="n">
        <v>4</v>
      </c>
      <c r="D22" s="40"/>
      <c r="E22" s="40"/>
      <c r="F22" s="40"/>
      <c r="G22" s="40"/>
      <c r="H22" s="42" t="n">
        <v>4</v>
      </c>
    </row>
    <row r="23" customFormat="false" ht="12.8" hidden="false" customHeight="false" outlineLevel="0" collapsed="false">
      <c r="A23" s="43"/>
      <c r="B23" s="44" t="s">
        <v>525</v>
      </c>
      <c r="C23" s="46" t="n">
        <v>1</v>
      </c>
      <c r="D23" s="46"/>
      <c r="E23" s="46"/>
      <c r="F23" s="46"/>
      <c r="G23" s="46"/>
      <c r="H23" s="48" t="n">
        <v>1</v>
      </c>
    </row>
    <row r="24" customFormat="false" ht="12.8" hidden="false" customHeight="false" outlineLevel="0" collapsed="false">
      <c r="A24" s="49" t="s">
        <v>535</v>
      </c>
      <c r="B24" s="50"/>
      <c r="C24" s="51" t="n">
        <v>50</v>
      </c>
      <c r="D24" s="52" t="n">
        <v>3</v>
      </c>
      <c r="E24" s="52" t="n">
        <v>15</v>
      </c>
      <c r="F24" s="52" t="n">
        <v>8</v>
      </c>
      <c r="G24" s="53" t="n">
        <v>19</v>
      </c>
      <c r="H24" s="54" t="n">
        <v>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cols>
    <col collapsed="false" customWidth="true" hidden="false" outlineLevel="0" max="1" min="1" style="0" width="32.39"/>
    <col collapsed="false" customWidth="true" hidden="false" outlineLevel="0" max="10" min="2" style="0" width="14.58"/>
  </cols>
  <sheetData>
    <row r="1" customFormat="false" ht="17.35" hidden="false" customHeight="false" outlineLevel="0" collapsed="false">
      <c r="A1" s="18" t="s">
        <v>536</v>
      </c>
    </row>
    <row r="2" customFormat="false" ht="12.8" hidden="false" customHeight="false" outlineLevel="0" collapsed="false">
      <c r="A2" s="19" t="s">
        <v>532</v>
      </c>
    </row>
    <row r="4" customFormat="false" ht="12.8" hidden="false" customHeight="false" outlineLevel="0" collapsed="false">
      <c r="A4" s="20" t="s">
        <v>533</v>
      </c>
    </row>
    <row r="5" customFormat="false" ht="12.8" hidden="false" customHeight="false" outlineLevel="0" collapsed="false">
      <c r="A5" s="55" t="s">
        <v>36</v>
      </c>
      <c r="B5" s="56" t="s">
        <v>537</v>
      </c>
    </row>
    <row r="7" customFormat="false" ht="12.8" hidden="false" customHeight="false" outlineLevel="0" collapsed="false">
      <c r="A7" s="57" t="s">
        <v>534</v>
      </c>
      <c r="B7" s="23" t="s">
        <v>41</v>
      </c>
      <c r="C7" s="24"/>
      <c r="D7" s="24"/>
      <c r="E7" s="24"/>
      <c r="F7" s="24"/>
      <c r="G7" s="25"/>
    </row>
    <row r="8" customFormat="false" ht="12.8" hidden="false" customHeight="false" outlineLevel="0" collapsed="false">
      <c r="A8" s="26" t="s">
        <v>39</v>
      </c>
      <c r="B8" s="28" t="s">
        <v>145</v>
      </c>
      <c r="C8" s="29" t="s">
        <v>157</v>
      </c>
      <c r="D8" s="29" t="s">
        <v>8</v>
      </c>
      <c r="E8" s="29" t="s">
        <v>111</v>
      </c>
      <c r="F8" s="29" t="s">
        <v>140</v>
      </c>
      <c r="G8" s="30" t="s">
        <v>535</v>
      </c>
    </row>
    <row r="9" customFormat="false" ht="12.8" hidden="false" customHeight="false" outlineLevel="0" collapsed="false">
      <c r="A9" s="31" t="s">
        <v>341</v>
      </c>
      <c r="B9" s="33" t="n">
        <v>5</v>
      </c>
      <c r="C9" s="34"/>
      <c r="D9" s="34"/>
      <c r="E9" s="34"/>
      <c r="F9" s="35" t="n">
        <v>1</v>
      </c>
      <c r="G9" s="36" t="n">
        <v>6</v>
      </c>
    </row>
    <row r="10" customFormat="false" ht="12.8" hidden="false" customHeight="false" outlineLevel="0" collapsed="false">
      <c r="A10" s="37" t="s">
        <v>96</v>
      </c>
      <c r="B10" s="39" t="n">
        <v>11</v>
      </c>
      <c r="C10" s="40"/>
      <c r="D10" s="40" t="n">
        <v>3</v>
      </c>
      <c r="E10" s="40" t="n">
        <v>2</v>
      </c>
      <c r="F10" s="41" t="n">
        <v>1</v>
      </c>
      <c r="G10" s="42" t="n">
        <v>17</v>
      </c>
    </row>
    <row r="11" customFormat="false" ht="12.8" hidden="false" customHeight="false" outlineLevel="0" collapsed="false">
      <c r="A11" s="37" t="s">
        <v>60</v>
      </c>
      <c r="B11" s="39" t="n">
        <v>3</v>
      </c>
      <c r="C11" s="40"/>
      <c r="D11" s="40" t="n">
        <v>3</v>
      </c>
      <c r="E11" s="40" t="n">
        <v>1</v>
      </c>
      <c r="F11" s="41" t="n">
        <v>4</v>
      </c>
      <c r="G11" s="42" t="n">
        <v>11</v>
      </c>
    </row>
    <row r="12" customFormat="false" ht="12.8" hidden="false" customHeight="false" outlineLevel="0" collapsed="false">
      <c r="A12" s="37" t="s">
        <v>86</v>
      </c>
      <c r="B12" s="39" t="n">
        <v>4</v>
      </c>
      <c r="C12" s="40"/>
      <c r="D12" s="40" t="n">
        <v>1</v>
      </c>
      <c r="E12" s="40" t="n">
        <v>1</v>
      </c>
      <c r="F12" s="41" t="n">
        <v>7</v>
      </c>
      <c r="G12" s="42" t="n">
        <v>13</v>
      </c>
    </row>
    <row r="13" customFormat="false" ht="12.8" hidden="false" customHeight="false" outlineLevel="0" collapsed="false">
      <c r="A13" s="37" t="s">
        <v>104</v>
      </c>
      <c r="B13" s="39" t="n">
        <v>7</v>
      </c>
      <c r="C13" s="40"/>
      <c r="D13" s="40" t="n">
        <v>1</v>
      </c>
      <c r="E13" s="40" t="n">
        <v>2</v>
      </c>
      <c r="F13" s="41" t="n">
        <v>3</v>
      </c>
      <c r="G13" s="42" t="n">
        <v>13</v>
      </c>
    </row>
    <row r="14" customFormat="false" ht="12.8" hidden="false" customHeight="false" outlineLevel="0" collapsed="false">
      <c r="A14" s="37" t="s">
        <v>489</v>
      </c>
      <c r="B14" s="39" t="n">
        <v>5</v>
      </c>
      <c r="C14" s="40"/>
      <c r="D14" s="40"/>
      <c r="E14" s="40"/>
      <c r="F14" s="41"/>
      <c r="G14" s="42" t="n">
        <v>5</v>
      </c>
    </row>
    <row r="15" customFormat="false" ht="12.8" hidden="false" customHeight="false" outlineLevel="0" collapsed="false">
      <c r="A15" s="37" t="s">
        <v>280</v>
      </c>
      <c r="B15" s="39" t="n">
        <v>4</v>
      </c>
      <c r="C15" s="40"/>
      <c r="D15" s="40"/>
      <c r="E15" s="40"/>
      <c r="F15" s="41"/>
      <c r="G15" s="42" t="n">
        <v>4</v>
      </c>
    </row>
    <row r="16" customFormat="false" ht="12.8" hidden="false" customHeight="false" outlineLevel="0" collapsed="false">
      <c r="A16" s="37" t="s">
        <v>310</v>
      </c>
      <c r="B16" s="39" t="n">
        <v>1</v>
      </c>
      <c r="C16" s="40"/>
      <c r="D16" s="40"/>
      <c r="E16" s="40"/>
      <c r="F16" s="41" t="n">
        <v>1</v>
      </c>
      <c r="G16" s="42" t="n">
        <v>2</v>
      </c>
    </row>
    <row r="17" customFormat="false" ht="12.8" hidden="false" customHeight="false" outlineLevel="0" collapsed="false">
      <c r="A17" s="37" t="s">
        <v>152</v>
      </c>
      <c r="B17" s="45" t="n">
        <v>10</v>
      </c>
      <c r="C17" s="46" t="n">
        <v>3</v>
      </c>
      <c r="D17" s="46" t="n">
        <v>7</v>
      </c>
      <c r="E17" s="46" t="n">
        <v>2</v>
      </c>
      <c r="F17" s="47" t="n">
        <v>2</v>
      </c>
      <c r="G17" s="48" t="n">
        <v>24</v>
      </c>
    </row>
    <row r="18" customFormat="false" ht="12.8" hidden="false" customHeight="false" outlineLevel="0" collapsed="false">
      <c r="A18" s="58" t="s">
        <v>535</v>
      </c>
      <c r="B18" s="51" t="n">
        <v>50</v>
      </c>
      <c r="C18" s="52" t="n">
        <v>3</v>
      </c>
      <c r="D18" s="52" t="n">
        <v>15</v>
      </c>
      <c r="E18" s="52" t="n">
        <v>8</v>
      </c>
      <c r="F18" s="53" t="n">
        <v>19</v>
      </c>
      <c r="G18" s="54" t="n">
        <v>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cols>
    <col collapsed="false" customWidth="true" hidden="false" outlineLevel="0" max="1" min="1" style="0" width="32.39"/>
    <col collapsed="false" customWidth="true" hidden="false" outlineLevel="0" max="10" min="2" style="0" width="14.58"/>
  </cols>
  <sheetData>
    <row r="1" customFormat="false" ht="17.35" hidden="false" customHeight="false" outlineLevel="0" collapsed="false">
      <c r="A1" s="18" t="s">
        <v>538</v>
      </c>
    </row>
    <row r="2" customFormat="false" ht="12.8" hidden="false" customHeight="false" outlineLevel="0" collapsed="false">
      <c r="A2" s="19" t="s">
        <v>532</v>
      </c>
    </row>
    <row r="4" customFormat="false" ht="12.8" hidden="false" customHeight="false" outlineLevel="0" collapsed="false">
      <c r="A4" s="20" t="s">
        <v>533</v>
      </c>
    </row>
    <row r="5" customFormat="false" ht="12.8" hidden="false" customHeight="false" outlineLevel="0" collapsed="false">
      <c r="A5" s="55" t="s">
        <v>36</v>
      </c>
      <c r="B5" s="56" t="s">
        <v>537</v>
      </c>
    </row>
    <row r="7" customFormat="false" ht="12.8" hidden="false" customHeight="false" outlineLevel="0" collapsed="false">
      <c r="A7" s="57" t="s">
        <v>534</v>
      </c>
      <c r="B7" s="23" t="s">
        <v>52</v>
      </c>
      <c r="C7" s="24"/>
      <c r="D7" s="24"/>
      <c r="E7" s="24"/>
      <c r="F7" s="25"/>
    </row>
    <row r="8" customFormat="false" ht="12.8" hidden="false" customHeight="false" outlineLevel="0" collapsed="false">
      <c r="A8" s="26" t="s">
        <v>40</v>
      </c>
      <c r="B8" s="28" t="s">
        <v>539</v>
      </c>
      <c r="C8" s="29" t="s">
        <v>540</v>
      </c>
      <c r="D8" s="29" t="s">
        <v>541</v>
      </c>
      <c r="E8" s="29" t="s">
        <v>542</v>
      </c>
      <c r="F8" s="30" t="s">
        <v>535</v>
      </c>
    </row>
    <row r="9" customFormat="false" ht="12.8" hidden="false" customHeight="false" outlineLevel="0" collapsed="false">
      <c r="A9" s="31" t="s">
        <v>87</v>
      </c>
      <c r="B9" s="33" t="n">
        <v>3</v>
      </c>
      <c r="C9" s="34" t="n">
        <v>2</v>
      </c>
      <c r="D9" s="34" t="n">
        <v>2</v>
      </c>
      <c r="E9" s="35"/>
      <c r="F9" s="36" t="n">
        <v>7</v>
      </c>
    </row>
    <row r="10" customFormat="false" ht="12.8" hidden="false" customHeight="false" outlineLevel="0" collapsed="false">
      <c r="A10" s="37" t="s">
        <v>61</v>
      </c>
      <c r="B10" s="39" t="n">
        <v>6</v>
      </c>
      <c r="C10" s="40" t="n">
        <v>31</v>
      </c>
      <c r="D10" s="40" t="n">
        <v>9</v>
      </c>
      <c r="E10" s="41" t="n">
        <v>1</v>
      </c>
      <c r="F10" s="42" t="n">
        <v>47</v>
      </c>
    </row>
    <row r="11" customFormat="false" ht="12.8" hidden="false" customHeight="false" outlineLevel="0" collapsed="false">
      <c r="A11" s="37" t="s">
        <v>72</v>
      </c>
      <c r="B11" s="39" t="n">
        <v>1</v>
      </c>
      <c r="C11" s="40" t="n">
        <v>7</v>
      </c>
      <c r="D11" s="40" t="n">
        <v>4</v>
      </c>
      <c r="E11" s="41"/>
      <c r="F11" s="42" t="n">
        <v>12</v>
      </c>
    </row>
    <row r="12" customFormat="false" ht="12.8" hidden="false" customHeight="false" outlineLevel="0" collapsed="false">
      <c r="A12" s="37" t="s">
        <v>145</v>
      </c>
      <c r="B12" s="45" t="n">
        <v>3</v>
      </c>
      <c r="C12" s="46" t="n">
        <v>10</v>
      </c>
      <c r="D12" s="46" t="n">
        <v>16</v>
      </c>
      <c r="E12" s="47"/>
      <c r="F12" s="48" t="n">
        <v>29</v>
      </c>
    </row>
    <row r="13" customFormat="false" ht="12.8" hidden="false" customHeight="false" outlineLevel="0" collapsed="false">
      <c r="A13" s="58" t="s">
        <v>535</v>
      </c>
      <c r="B13" s="51" t="n">
        <v>13</v>
      </c>
      <c r="C13" s="52" t="n">
        <v>50</v>
      </c>
      <c r="D13" s="52" t="n">
        <v>31</v>
      </c>
      <c r="E13" s="53" t="n">
        <v>1</v>
      </c>
      <c r="F13" s="54" t="n">
        <v>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cols>
    <col collapsed="false" customWidth="true" hidden="false" outlineLevel="0" max="1" min="1" style="0" width="32.39"/>
    <col collapsed="false" customWidth="true" hidden="false" outlineLevel="0" max="10" min="2" style="0" width="14.58"/>
  </cols>
  <sheetData>
    <row r="1" customFormat="false" ht="17.35" hidden="false" customHeight="false" outlineLevel="0" collapsed="false">
      <c r="A1" s="18" t="s">
        <v>543</v>
      </c>
    </row>
    <row r="2" customFormat="false" ht="12.8" hidden="false" customHeight="false" outlineLevel="0" collapsed="false">
      <c r="A2" s="19" t="s">
        <v>532</v>
      </c>
    </row>
    <row r="4" customFormat="false" ht="12.8" hidden="false" customHeight="false" outlineLevel="0" collapsed="false">
      <c r="A4" s="20" t="s">
        <v>533</v>
      </c>
    </row>
    <row r="5" customFormat="false" ht="12.8" hidden="false" customHeight="false" outlineLevel="0" collapsed="false">
      <c r="A5" s="55" t="s">
        <v>39</v>
      </c>
      <c r="B5" s="56" t="s">
        <v>537</v>
      </c>
    </row>
    <row r="7" customFormat="false" ht="12.8" hidden="false" customHeight="false" outlineLevel="0" collapsed="false">
      <c r="A7" s="57" t="s">
        <v>534</v>
      </c>
      <c r="B7" s="23" t="s">
        <v>36</v>
      </c>
      <c r="C7" s="24"/>
      <c r="D7" s="25"/>
    </row>
    <row r="8" customFormat="false" ht="12.8" hidden="false" customHeight="false" outlineLevel="0" collapsed="false">
      <c r="A8" s="26" t="s">
        <v>43</v>
      </c>
      <c r="B8" s="28" t="s">
        <v>9</v>
      </c>
      <c r="C8" s="29" t="s">
        <v>6</v>
      </c>
      <c r="D8" s="30" t="s">
        <v>535</v>
      </c>
    </row>
    <row r="9" customFormat="false" ht="12.8" hidden="false" customHeight="false" outlineLevel="0" collapsed="false">
      <c r="A9" s="31" t="s">
        <v>63</v>
      </c>
      <c r="B9" s="33" t="n">
        <v>6</v>
      </c>
      <c r="C9" s="35" t="n">
        <v>29</v>
      </c>
      <c r="D9" s="36" t="n">
        <v>35</v>
      </c>
    </row>
    <row r="10" customFormat="false" ht="12.8" hidden="false" customHeight="false" outlineLevel="0" collapsed="false">
      <c r="A10" s="37" t="s">
        <v>145</v>
      </c>
      <c r="B10" s="39" t="n">
        <v>19</v>
      </c>
      <c r="C10" s="41" t="n">
        <v>6</v>
      </c>
      <c r="D10" s="42" t="n">
        <v>25</v>
      </c>
    </row>
    <row r="11" customFormat="false" ht="12.8" hidden="false" customHeight="false" outlineLevel="0" collapsed="false">
      <c r="A11" s="37" t="s">
        <v>74</v>
      </c>
      <c r="B11" s="45" t="n">
        <v>6</v>
      </c>
      <c r="C11" s="47" t="n">
        <v>29</v>
      </c>
      <c r="D11" s="48" t="n">
        <v>35</v>
      </c>
    </row>
    <row r="12" customFormat="false" ht="12.8" hidden="false" customHeight="false" outlineLevel="0" collapsed="false">
      <c r="A12" s="58" t="s">
        <v>535</v>
      </c>
      <c r="B12" s="51" t="n">
        <v>31</v>
      </c>
      <c r="C12" s="53" t="n">
        <v>64</v>
      </c>
      <c r="D12" s="54" t="n">
        <v>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"/>
    <col collapsed="false" customWidth="true" hidden="false" outlineLevel="0" max="3" min="3" style="0" width="3"/>
    <col collapsed="false" customWidth="true" hidden="false" outlineLevel="0" max="4" min="4" style="0" width="36"/>
    <col collapsed="false" customWidth="true" hidden="false" outlineLevel="0" max="5" min="5" style="0" width="8"/>
    <col collapsed="false" customWidth="true" hidden="false" outlineLevel="0" max="6" min="6" style="0" width="3"/>
    <col collapsed="false" customWidth="true" hidden="false" outlineLevel="0" max="7" min="7" style="0" width="12"/>
    <col collapsed="false" customWidth="true" hidden="false" outlineLevel="0" max="8" min="8" style="0" width="16"/>
  </cols>
  <sheetData>
    <row r="1" customFormat="false" ht="22.05" hidden="false" customHeight="false" outlineLevel="0" collapsed="false">
      <c r="A1" s="1" t="s">
        <v>544</v>
      </c>
    </row>
    <row r="2" customFormat="false" ht="15" hidden="false" customHeight="false" outlineLevel="0" collapsed="false">
      <c r="A2" s="2" t="s">
        <v>545</v>
      </c>
    </row>
    <row r="4" customFormat="false" ht="30" hidden="false" customHeight="true" outlineLevel="0" collapsed="false">
      <c r="A4" s="13" t="s">
        <v>41</v>
      </c>
      <c r="B4" s="13" t="s">
        <v>546</v>
      </c>
      <c r="C4" s="59"/>
      <c r="D4" s="13" t="s">
        <v>39</v>
      </c>
      <c r="E4" s="13" t="s">
        <v>546</v>
      </c>
      <c r="F4" s="59"/>
      <c r="G4" s="13" t="s">
        <v>52</v>
      </c>
      <c r="H4" s="13" t="s">
        <v>547</v>
      </c>
    </row>
    <row r="5" customFormat="false" ht="15" hidden="false" customHeight="false" outlineLevel="0" collapsed="false">
      <c r="A5" s="4" t="s">
        <v>8</v>
      </c>
      <c r="B5" s="60" t="n">
        <v>3</v>
      </c>
      <c r="D5" s="4" t="s">
        <v>96</v>
      </c>
      <c r="E5" s="60" t="n">
        <v>3</v>
      </c>
      <c r="G5" s="4" t="s">
        <v>539</v>
      </c>
      <c r="H5" s="60" t="n">
        <v>6</v>
      </c>
      <c r="I5" s="2" t="s">
        <v>548</v>
      </c>
    </row>
    <row r="6" customFormat="false" ht="15" hidden="false" customHeight="false" outlineLevel="0" collapsed="false">
      <c r="A6" s="4" t="s">
        <v>111</v>
      </c>
      <c r="B6" s="60" t="n">
        <v>3</v>
      </c>
      <c r="D6" s="4" t="s">
        <v>104</v>
      </c>
      <c r="E6" s="60" t="n">
        <v>3</v>
      </c>
      <c r="G6" s="4" t="s">
        <v>540</v>
      </c>
      <c r="H6" s="60" t="n">
        <v>4</v>
      </c>
      <c r="I6" s="2" t="s">
        <v>549</v>
      </c>
    </row>
    <row r="7" customFormat="false" ht="15" hidden="false" customHeight="false" outlineLevel="0" collapsed="false">
      <c r="A7" s="4" t="s">
        <v>157</v>
      </c>
      <c r="B7" s="60" t="n">
        <v>2</v>
      </c>
      <c r="D7" s="4" t="s">
        <v>280</v>
      </c>
      <c r="E7" s="60" t="n">
        <v>3</v>
      </c>
      <c r="G7" s="4" t="s">
        <v>541</v>
      </c>
      <c r="H7" s="4" t="s">
        <v>550</v>
      </c>
      <c r="I7" s="2" t="s">
        <v>551</v>
      </c>
    </row>
    <row r="8" customFormat="false" ht="15" hidden="false" customHeight="false" outlineLevel="0" collapsed="false">
      <c r="A8" s="4" t="s">
        <v>145</v>
      </c>
      <c r="B8" s="60" t="n">
        <v>1</v>
      </c>
      <c r="D8" s="4" t="s">
        <v>552</v>
      </c>
      <c r="E8" s="60" t="n">
        <v>3</v>
      </c>
      <c r="G8" s="4"/>
      <c r="H8" s="4"/>
      <c r="I8" s="2" t="s">
        <v>553</v>
      </c>
    </row>
    <row r="9" customFormat="false" ht="15" hidden="false" customHeight="false" outlineLevel="0" collapsed="false">
      <c r="A9" s="4" t="s">
        <v>140</v>
      </c>
      <c r="B9" s="60" t="n">
        <v>1</v>
      </c>
      <c r="D9" s="4" t="s">
        <v>86</v>
      </c>
      <c r="E9" s="60" t="n">
        <v>2</v>
      </c>
      <c r="G9" s="4" t="s">
        <v>554</v>
      </c>
      <c r="H9" s="60" t="n">
        <v>10</v>
      </c>
      <c r="I9" s="2" t="s">
        <v>555</v>
      </c>
    </row>
    <row r="10" customFormat="false" ht="15" hidden="false" customHeight="false" outlineLevel="0" collapsed="false">
      <c r="A10" s="4"/>
      <c r="B10" s="4"/>
      <c r="D10" s="4" t="s">
        <v>60</v>
      </c>
      <c r="E10" s="60" t="n">
        <v>2</v>
      </c>
      <c r="G10" s="4" t="s">
        <v>556</v>
      </c>
      <c r="H10" s="60" t="n">
        <v>2000</v>
      </c>
      <c r="I10" s="2" t="s">
        <v>557</v>
      </c>
    </row>
    <row r="11" customFormat="false" ht="15" hidden="false" customHeight="false" outlineLevel="0" collapsed="false">
      <c r="A11" s="4"/>
      <c r="B11" s="4"/>
      <c r="D11" s="4" t="s">
        <v>489</v>
      </c>
      <c r="E11" s="60" t="n">
        <v>2</v>
      </c>
      <c r="G11" s="4"/>
      <c r="H11" s="4"/>
      <c r="I11" s="2" t="s">
        <v>558</v>
      </c>
    </row>
    <row r="12" customFormat="false" ht="15" hidden="false" customHeight="false" outlineLevel="0" collapsed="false">
      <c r="A12" s="4"/>
      <c r="B12" s="4"/>
      <c r="D12" s="4" t="s">
        <v>152</v>
      </c>
      <c r="E12" s="60" t="n">
        <v>2</v>
      </c>
      <c r="G12" s="4"/>
      <c r="H12" s="4"/>
      <c r="I12" s="2" t="s">
        <v>559</v>
      </c>
    </row>
    <row r="13" customFormat="false" ht="15" hidden="false" customHeight="false" outlineLevel="0" collapsed="false">
      <c r="A13" s="4"/>
      <c r="B13" s="4"/>
      <c r="D13" s="4" t="s">
        <v>310</v>
      </c>
      <c r="E13" s="60" t="n">
        <v>1</v>
      </c>
      <c r="G13" s="4"/>
      <c r="H13" s="4"/>
      <c r="I13" s="2" t="s">
        <v>560</v>
      </c>
    </row>
    <row r="14" customFormat="false" ht="15" hidden="false" customHeight="false" outlineLevel="0" collapsed="false">
      <c r="A14" s="4"/>
      <c r="B14" s="4"/>
      <c r="D14" s="4" t="s">
        <v>341</v>
      </c>
      <c r="E14" s="60" t="n">
        <v>1</v>
      </c>
      <c r="G14" s="4"/>
      <c r="H14" s="4"/>
      <c r="I14" s="2" t="s">
        <v>561</v>
      </c>
    </row>
    <row r="15" customFormat="false" ht="15" hidden="false" customHeight="false" outlineLevel="0" collapsed="false">
      <c r="A15" s="4"/>
      <c r="B15" s="4"/>
      <c r="D15" s="4" t="s">
        <v>562</v>
      </c>
      <c r="E15" s="60" t="n">
        <v>1</v>
      </c>
      <c r="G15" s="4"/>
      <c r="H15" s="4"/>
    </row>
    <row r="16" customFormat="false" ht="15" hidden="false" customHeight="false" outlineLevel="0" collapsed="false">
      <c r="A16" s="4"/>
      <c r="B16" s="4"/>
      <c r="D16" s="4"/>
      <c r="E16" s="60"/>
      <c r="G16" s="4"/>
      <c r="H16" s="4"/>
    </row>
    <row r="18" customFormat="false" ht="15" hidden="false" customHeight="false" outlineLevel="0" collapsed="false">
      <c r="A18" s="2" t="s">
        <v>563</v>
      </c>
    </row>
    <row r="19" customFormat="false" ht="15" hidden="false" customHeight="false" outlineLevel="0" collapsed="false">
      <c r="A19" s="2" t="s">
        <v>564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5" min="4" style="0" width="11"/>
    <col collapsed="false" customWidth="true" hidden="false" outlineLevel="0" max="6" min="6" style="0" width="18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1" min="11" style="0" width="18"/>
    <col collapsed="false" customWidth="true" hidden="false" outlineLevel="0" max="12" min="12" style="0" width="15"/>
  </cols>
  <sheetData>
    <row r="1" customFormat="false" ht="22.05" hidden="false" customHeight="false" outlineLevel="0" collapsed="false">
      <c r="A1" s="1" t="s">
        <v>565</v>
      </c>
    </row>
    <row r="2" customFormat="false" ht="15" hidden="false" customHeight="false" outlineLevel="0" collapsed="false">
      <c r="A2" s="2" t="s">
        <v>566</v>
      </c>
    </row>
    <row r="4" customFormat="false" ht="30" hidden="false" customHeight="true" outlineLevel="0" collapsed="false">
      <c r="A4" s="13" t="s">
        <v>39</v>
      </c>
      <c r="B4" s="13" t="s">
        <v>567</v>
      </c>
      <c r="C4" s="13" t="s">
        <v>568</v>
      </c>
      <c r="D4" s="13" t="s">
        <v>111</v>
      </c>
      <c r="E4" s="13" t="s">
        <v>569</v>
      </c>
      <c r="F4" s="13" t="s">
        <v>570</v>
      </c>
      <c r="G4" s="13" t="s">
        <v>571</v>
      </c>
      <c r="H4" s="13" t="s">
        <v>16</v>
      </c>
      <c r="I4" s="13" t="s">
        <v>572</v>
      </c>
      <c r="J4" s="13" t="s">
        <v>573</v>
      </c>
      <c r="K4" s="13" t="s">
        <v>574</v>
      </c>
      <c r="L4" s="13" t="s">
        <v>575</v>
      </c>
    </row>
    <row r="5" customFormat="false" ht="15" hidden="false" customHeight="false" outlineLevel="0" collapsed="false">
      <c r="A5" s="14" t="s">
        <v>96</v>
      </c>
      <c r="B5" s="14" t="n">
        <f aca="false">COUNTIF(Prospectos!$H$5:$H$99,A5)</f>
        <v>17</v>
      </c>
      <c r="C5" s="14" t="n">
        <f aca="false">COUNTIFS(Prospectos!$H$5:$H$99,A5,Prospectos!$J$5:$J$99,"Sin sitio web")</f>
        <v>3</v>
      </c>
      <c r="D5" s="14" t="n">
        <f aca="false">COUNTIFS(Prospectos!$H$5:$H$99,A5,Prospectos!$J$5:$J$99,"Sitio obsoleto")</f>
        <v>2</v>
      </c>
      <c r="E5" s="14" t="n">
        <f aca="false">COUNTIFS(Prospectos!$H$5:$H$99,A5,Prospectos!$J$5:$J$99,"Presencia desordenada")</f>
        <v>0</v>
      </c>
      <c r="F5" s="14" t="n">
        <f aca="false">C5+D5+E5</f>
        <v>5</v>
      </c>
      <c r="G5" s="61" t="n">
        <f aca="false">IF(B5=0,0,F5/B5)</f>
        <v>0.294117647058824</v>
      </c>
      <c r="H5" s="14" t="n">
        <f aca="false">COUNTIFS(Prospectos!$H$5:$H$99,A5,Prospectos!$U$5:$U$99,"A")</f>
        <v>3</v>
      </c>
      <c r="I5" s="62" t="n">
        <v>4500</v>
      </c>
      <c r="J5" s="62" t="n">
        <v>1500</v>
      </c>
      <c r="K5" s="63" t="n">
        <f aca="false">F5*(I5+J5*12)</f>
        <v>112500</v>
      </c>
      <c r="L5" s="64" t="n">
        <v>76.4</v>
      </c>
    </row>
    <row r="6" customFormat="false" ht="15" hidden="false" customHeight="false" outlineLevel="0" collapsed="false">
      <c r="A6" s="14" t="s">
        <v>104</v>
      </c>
      <c r="B6" s="14" t="n">
        <f aca="false">COUNTIF(Prospectos!$H$5:$H$99,A6)</f>
        <v>13</v>
      </c>
      <c r="C6" s="14" t="n">
        <f aca="false">COUNTIFS(Prospectos!$H$5:$H$99,A6,Prospectos!$J$5:$J$99,"Sin sitio web")</f>
        <v>1</v>
      </c>
      <c r="D6" s="14" t="n">
        <f aca="false">COUNTIFS(Prospectos!$H$5:$H$99,A6,Prospectos!$J$5:$J$99,"Sitio obsoleto")</f>
        <v>2</v>
      </c>
      <c r="E6" s="14" t="n">
        <f aca="false">COUNTIFS(Prospectos!$H$5:$H$99,A6,Prospectos!$J$5:$J$99,"Presencia desordenada")</f>
        <v>0</v>
      </c>
      <c r="F6" s="14" t="n">
        <f aca="false">C6+D6+E6</f>
        <v>3</v>
      </c>
      <c r="G6" s="61" t="n">
        <f aca="false">IF(B6=0,0,F6/B6)</f>
        <v>0.230769230769231</v>
      </c>
      <c r="H6" s="14" t="n">
        <f aca="false">COUNTIFS(Prospectos!$H$5:$H$99,A6,Prospectos!$U$5:$U$99,"A")</f>
        <v>3</v>
      </c>
      <c r="I6" s="62" t="n">
        <v>5000</v>
      </c>
      <c r="J6" s="62" t="n">
        <v>1500</v>
      </c>
      <c r="K6" s="63" t="n">
        <f aca="false">F6*(I6+J6*12)</f>
        <v>69000</v>
      </c>
      <c r="L6" s="64" t="n">
        <v>103.54</v>
      </c>
    </row>
    <row r="7" customFormat="false" ht="15" hidden="false" customHeight="false" outlineLevel="0" collapsed="false">
      <c r="A7" s="14" t="s">
        <v>280</v>
      </c>
      <c r="B7" s="14" t="n">
        <f aca="false">COUNTIF(Prospectos!$H$5:$H$99,A7)</f>
        <v>4</v>
      </c>
      <c r="C7" s="14" t="n">
        <f aca="false">COUNTIFS(Prospectos!$H$5:$H$99,A7,Prospectos!$J$5:$J$99,"Sin sitio web")</f>
        <v>0</v>
      </c>
      <c r="D7" s="14" t="n">
        <f aca="false">COUNTIFS(Prospectos!$H$5:$H$99,A7,Prospectos!$J$5:$J$99,"Sitio obsoleto")</f>
        <v>0</v>
      </c>
      <c r="E7" s="14" t="n">
        <f aca="false">COUNTIFS(Prospectos!$H$5:$H$99,A7,Prospectos!$J$5:$J$99,"Presencia desordenada")</f>
        <v>0</v>
      </c>
      <c r="F7" s="14" t="n">
        <f aca="false">C7+D7+E7</f>
        <v>0</v>
      </c>
      <c r="G7" s="61" t="n">
        <f aca="false">IF(B7=0,0,F7/B7)</f>
        <v>0</v>
      </c>
      <c r="H7" s="14" t="n">
        <f aca="false">COUNTIFS(Prospectos!$H$5:$H$99,A7,Prospectos!$U$5:$U$99,"A")</f>
        <v>0</v>
      </c>
      <c r="I7" s="62" t="n">
        <v>4500</v>
      </c>
      <c r="J7" s="62" t="n">
        <v>1800</v>
      </c>
      <c r="K7" s="63" t="n">
        <f aca="false">F7*(I7+J7*12)</f>
        <v>0</v>
      </c>
      <c r="L7" s="64" t="n">
        <v>56.83</v>
      </c>
    </row>
    <row r="8" customFormat="false" ht="15" hidden="false" customHeight="false" outlineLevel="0" collapsed="false">
      <c r="A8" s="14" t="s">
        <v>552</v>
      </c>
      <c r="B8" s="14" t="n">
        <f aca="false">COUNTIF(Prospectos!$H$5:$H$99,A8)</f>
        <v>0</v>
      </c>
      <c r="C8" s="14" t="n">
        <f aca="false">COUNTIFS(Prospectos!$H$5:$H$99,A8,Prospectos!$J$5:$J$99,"Sin sitio web")</f>
        <v>0</v>
      </c>
      <c r="D8" s="14" t="n">
        <f aca="false">COUNTIFS(Prospectos!$H$5:$H$99,A8,Prospectos!$J$5:$J$99,"Sitio obsoleto")</f>
        <v>0</v>
      </c>
      <c r="E8" s="14" t="n">
        <f aca="false">COUNTIFS(Prospectos!$H$5:$H$99,A8,Prospectos!$J$5:$J$99,"Presencia desordenada")</f>
        <v>0</v>
      </c>
      <c r="F8" s="14" t="n">
        <f aca="false">C8+D8+E8</f>
        <v>0</v>
      </c>
      <c r="G8" s="61" t="n">
        <f aca="false">IF(B8=0,0,F8/B8)</f>
        <v>0</v>
      </c>
      <c r="H8" s="14" t="n">
        <f aca="false">COUNTIFS(Prospectos!$H$5:$H$99,A8,Prospectos!$U$5:$U$99,"A")</f>
        <v>0</v>
      </c>
      <c r="I8" s="62" t="n">
        <v>6000</v>
      </c>
      <c r="J8" s="62" t="n">
        <v>2000</v>
      </c>
      <c r="K8" s="63" t="n">
        <f aca="false">F8*(I8+J8*12)</f>
        <v>0</v>
      </c>
      <c r="L8" s="64" t="n">
        <v>131.63</v>
      </c>
    </row>
    <row r="9" customFormat="false" ht="15" hidden="false" customHeight="false" outlineLevel="0" collapsed="false">
      <c r="A9" s="14" t="s">
        <v>86</v>
      </c>
      <c r="B9" s="14" t="n">
        <f aca="false">COUNTIF(Prospectos!$H$5:$H$99,A9)</f>
        <v>13</v>
      </c>
      <c r="C9" s="14" t="n">
        <f aca="false">COUNTIFS(Prospectos!$H$5:$H$99,A9,Prospectos!$J$5:$J$99,"Sin sitio web")</f>
        <v>1</v>
      </c>
      <c r="D9" s="14" t="n">
        <f aca="false">COUNTIFS(Prospectos!$H$5:$H$99,A9,Prospectos!$J$5:$J$99,"Sitio obsoleto")</f>
        <v>1</v>
      </c>
      <c r="E9" s="14" t="n">
        <f aca="false">COUNTIFS(Prospectos!$H$5:$H$99,A9,Prospectos!$J$5:$J$99,"Presencia desordenada")</f>
        <v>0</v>
      </c>
      <c r="F9" s="14" t="n">
        <f aca="false">C9+D9+E9</f>
        <v>2</v>
      </c>
      <c r="G9" s="61" t="n">
        <f aca="false">IF(B9=0,0,F9/B9)</f>
        <v>0.153846153846154</v>
      </c>
      <c r="H9" s="14" t="n">
        <f aca="false">COUNTIFS(Prospectos!$H$5:$H$99,A9,Prospectos!$U$5:$U$99,"A")</f>
        <v>1</v>
      </c>
      <c r="I9" s="62" t="n">
        <v>4000</v>
      </c>
      <c r="J9" s="62" t="n">
        <v>1200</v>
      </c>
      <c r="K9" s="63" t="n">
        <f aca="false">F9*(I9+J9*12)</f>
        <v>36800</v>
      </c>
      <c r="L9" s="64" t="n">
        <v>103.54</v>
      </c>
    </row>
    <row r="10" customFormat="false" ht="15" hidden="false" customHeight="false" outlineLevel="0" collapsed="false">
      <c r="A10" s="14" t="s">
        <v>60</v>
      </c>
      <c r="B10" s="14" t="n">
        <f aca="false">COUNTIF(Prospectos!$H$5:$H$99,A10)</f>
        <v>11</v>
      </c>
      <c r="C10" s="14" t="n">
        <f aca="false">COUNTIFS(Prospectos!$H$5:$H$99,A10,Prospectos!$J$5:$J$99,"Sin sitio web")</f>
        <v>3</v>
      </c>
      <c r="D10" s="14" t="n">
        <f aca="false">COUNTIFS(Prospectos!$H$5:$H$99,A10,Prospectos!$J$5:$J$99,"Sitio obsoleto")</f>
        <v>1</v>
      </c>
      <c r="E10" s="14" t="n">
        <f aca="false">COUNTIFS(Prospectos!$H$5:$H$99,A10,Prospectos!$J$5:$J$99,"Presencia desordenada")</f>
        <v>0</v>
      </c>
      <c r="F10" s="14" t="n">
        <f aca="false">C10+D10+E10</f>
        <v>4</v>
      </c>
      <c r="G10" s="61" t="n">
        <f aca="false">IF(B10=0,0,F10/B10)</f>
        <v>0.363636363636364</v>
      </c>
      <c r="H10" s="14" t="n">
        <f aca="false">COUNTIFS(Prospectos!$H$5:$H$99,A10,Prospectos!$U$5:$U$99,"A")</f>
        <v>2</v>
      </c>
      <c r="I10" s="62" t="n">
        <v>4000</v>
      </c>
      <c r="J10" s="62" t="n">
        <v>1200</v>
      </c>
      <c r="K10" s="63" t="n">
        <f aca="false">F10*(I10+J10*12)</f>
        <v>73600</v>
      </c>
      <c r="L10" s="64" t="n">
        <v>103.54</v>
      </c>
    </row>
    <row r="11" customFormat="false" ht="15" hidden="false" customHeight="false" outlineLevel="0" collapsed="false">
      <c r="A11" s="14" t="s">
        <v>489</v>
      </c>
      <c r="B11" s="14" t="n">
        <f aca="false">COUNTIF(Prospectos!$H$5:$H$99,A11)</f>
        <v>5</v>
      </c>
      <c r="C11" s="14" t="n">
        <f aca="false">COUNTIFS(Prospectos!$H$5:$H$99,A11,Prospectos!$J$5:$J$99,"Sin sitio web")</f>
        <v>0</v>
      </c>
      <c r="D11" s="14" t="n">
        <f aca="false">COUNTIFS(Prospectos!$H$5:$H$99,A11,Prospectos!$J$5:$J$99,"Sitio obsoleto")</f>
        <v>0</v>
      </c>
      <c r="E11" s="14" t="n">
        <f aca="false">COUNTIFS(Prospectos!$H$5:$H$99,A11,Prospectos!$J$5:$J$99,"Presencia desordenada")</f>
        <v>0</v>
      </c>
      <c r="F11" s="14" t="n">
        <f aca="false">C11+D11+E11</f>
        <v>0</v>
      </c>
      <c r="G11" s="61" t="n">
        <f aca="false">IF(B11=0,0,F11/B11)</f>
        <v>0</v>
      </c>
      <c r="H11" s="14" t="n">
        <f aca="false">COUNTIFS(Prospectos!$H$5:$H$99,A11,Prospectos!$U$5:$U$99,"A")</f>
        <v>0</v>
      </c>
      <c r="I11" s="62" t="n">
        <v>3500</v>
      </c>
      <c r="J11" s="62" t="n">
        <v>1200</v>
      </c>
      <c r="K11" s="63" t="n">
        <f aca="false">F11*(I11+J11*12)</f>
        <v>0</v>
      </c>
      <c r="L11" s="64" t="n">
        <v>100.48</v>
      </c>
    </row>
    <row r="12" customFormat="false" ht="15" hidden="false" customHeight="false" outlineLevel="0" collapsed="false">
      <c r="A12" s="14" t="s">
        <v>152</v>
      </c>
      <c r="B12" s="14" t="n">
        <f aca="false">COUNTIF(Prospectos!$H$5:$H$99,A12)</f>
        <v>24</v>
      </c>
      <c r="C12" s="14" t="n">
        <f aca="false">COUNTIFS(Prospectos!$H$5:$H$99,A12,Prospectos!$J$5:$J$99,"Sin sitio web")</f>
        <v>7</v>
      </c>
      <c r="D12" s="14" t="n">
        <f aca="false">COUNTIFS(Prospectos!$H$5:$H$99,A12,Prospectos!$J$5:$J$99,"Sitio obsoleto")</f>
        <v>2</v>
      </c>
      <c r="E12" s="14" t="n">
        <f aca="false">COUNTIFS(Prospectos!$H$5:$H$99,A12,Prospectos!$J$5:$J$99,"Presencia desordenada")</f>
        <v>3</v>
      </c>
      <c r="F12" s="14" t="n">
        <f aca="false">C12+D12+E12</f>
        <v>12</v>
      </c>
      <c r="G12" s="61" t="n">
        <f aca="false">IF(B12=0,0,F12/B12)</f>
        <v>0.5</v>
      </c>
      <c r="H12" s="14" t="n">
        <f aca="false">COUNTIFS(Prospectos!$H$5:$H$99,A12,Prospectos!$U$5:$U$99,"A")</f>
        <v>4</v>
      </c>
      <c r="I12" s="62" t="n">
        <v>3000</v>
      </c>
      <c r="J12" s="62" t="n">
        <v>1000</v>
      </c>
      <c r="K12" s="63" t="n">
        <f aca="false">F12*(I12+J12*12)</f>
        <v>180000</v>
      </c>
      <c r="L12" s="64" t="n">
        <v>28.5</v>
      </c>
    </row>
    <row r="13" customFormat="false" ht="15" hidden="false" customHeight="false" outlineLevel="0" collapsed="false">
      <c r="A13" s="14" t="s">
        <v>310</v>
      </c>
      <c r="B13" s="14" t="n">
        <f aca="false">COUNTIF(Prospectos!$H$5:$H$99,A13)</f>
        <v>2</v>
      </c>
      <c r="C13" s="14" t="n">
        <f aca="false">COUNTIFS(Prospectos!$H$5:$H$99,A13,Prospectos!$J$5:$J$99,"Sin sitio web")</f>
        <v>0</v>
      </c>
      <c r="D13" s="14" t="n">
        <f aca="false">COUNTIFS(Prospectos!$H$5:$H$99,A13,Prospectos!$J$5:$J$99,"Sitio obsoleto")</f>
        <v>0</v>
      </c>
      <c r="E13" s="14" t="n">
        <f aca="false">COUNTIFS(Prospectos!$H$5:$H$99,A13,Prospectos!$J$5:$J$99,"Presencia desordenada")</f>
        <v>0</v>
      </c>
      <c r="F13" s="14" t="n">
        <f aca="false">C13+D13+E13</f>
        <v>0</v>
      </c>
      <c r="G13" s="61" t="n">
        <f aca="false">IF(B13=0,0,F13/B13)</f>
        <v>0</v>
      </c>
      <c r="H13" s="14" t="n">
        <f aca="false">COUNTIFS(Prospectos!$H$5:$H$99,A13,Prospectos!$U$5:$U$99,"A")</f>
        <v>0</v>
      </c>
      <c r="I13" s="62" t="n">
        <v>2500</v>
      </c>
      <c r="J13" s="62" t="n">
        <v>800</v>
      </c>
      <c r="K13" s="63" t="n">
        <f aca="false">F13*(I13+J13*12)</f>
        <v>0</v>
      </c>
      <c r="L13" s="64" t="n">
        <v>30.27</v>
      </c>
    </row>
    <row r="14" customFormat="false" ht="15" hidden="false" customHeight="false" outlineLevel="0" collapsed="false">
      <c r="A14" s="14" t="s">
        <v>341</v>
      </c>
      <c r="B14" s="14" t="n">
        <f aca="false">COUNTIF(Prospectos!$H$5:$H$99,A14)</f>
        <v>6</v>
      </c>
      <c r="C14" s="14" t="n">
        <f aca="false">COUNTIFS(Prospectos!$H$5:$H$99,A14,Prospectos!$J$5:$J$99,"Sin sitio web")</f>
        <v>0</v>
      </c>
      <c r="D14" s="14" t="n">
        <f aca="false">COUNTIFS(Prospectos!$H$5:$H$99,A14,Prospectos!$J$5:$J$99,"Sitio obsoleto")</f>
        <v>0</v>
      </c>
      <c r="E14" s="14" t="n">
        <f aca="false">COUNTIFS(Prospectos!$H$5:$H$99,A14,Prospectos!$J$5:$J$99,"Presencia desordenada")</f>
        <v>0</v>
      </c>
      <c r="F14" s="14" t="n">
        <f aca="false">C14+D14+E14</f>
        <v>0</v>
      </c>
      <c r="G14" s="61" t="n">
        <f aca="false">IF(B14=0,0,F14/B14)</f>
        <v>0</v>
      </c>
      <c r="H14" s="14" t="n">
        <f aca="false">COUNTIFS(Prospectos!$H$5:$H$99,A14,Prospectos!$U$5:$U$99,"A")</f>
        <v>0</v>
      </c>
      <c r="I14" s="62" t="n">
        <v>3000</v>
      </c>
      <c r="J14" s="62" t="n">
        <v>800</v>
      </c>
      <c r="K14" s="63" t="n">
        <f aca="false">F14*(I14+J14*12)</f>
        <v>0</v>
      </c>
      <c r="L14" s="64" t="n">
        <v>70.11</v>
      </c>
    </row>
    <row r="15" customFormat="false" ht="15" hidden="false" customHeight="false" outlineLevel="0" collapsed="false">
      <c r="A15" s="65" t="s">
        <v>576</v>
      </c>
      <c r="B15" s="65" t="n">
        <f aca="false">SUM(B5:B14)</f>
        <v>95</v>
      </c>
      <c r="C15" s="65" t="n">
        <f aca="false">SUM(C5:C14)</f>
        <v>15</v>
      </c>
      <c r="D15" s="65" t="n">
        <f aca="false">SUM(D5:D14)</f>
        <v>8</v>
      </c>
      <c r="E15" s="65" t="n">
        <f aca="false">SUM(E5:E14)</f>
        <v>3</v>
      </c>
      <c r="F15" s="65" t="n">
        <f aca="false">SUM(F5:F14)</f>
        <v>26</v>
      </c>
      <c r="G15" s="66" t="n">
        <f aca="false">IF(B15=0,0,F15/B15)</f>
        <v>0.273684210526316</v>
      </c>
      <c r="H15" s="65" t="n">
        <f aca="false">SUM(H5:H14)</f>
        <v>13</v>
      </c>
      <c r="I15" s="65"/>
      <c r="J15" s="65"/>
      <c r="K15" s="67" t="n">
        <f aca="false">SUM(K5:K14)</f>
        <v>471900</v>
      </c>
      <c r="L15" s="65"/>
    </row>
    <row r="17" customFormat="false" ht="15" hidden="false" customHeight="false" outlineLevel="0" collapsed="false">
      <c r="A17" s="2" t="s">
        <v>577</v>
      </c>
    </row>
    <row r="18" customFormat="false" ht="15" hidden="false" customHeight="false" outlineLevel="0" collapsed="false">
      <c r="A18" s="2" t="s">
        <v>578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  <col collapsed="false" customWidth="true" hidden="false" outlineLevel="0" max="4" min="4" style="0" width="7"/>
    <col collapsed="false" customWidth="true" hidden="false" outlineLevel="0" max="5" min="5" style="0" width="16"/>
    <col collapsed="false" customWidth="true" hidden="false" outlineLevel="0" max="6" min="6" style="0" width="52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48"/>
  </cols>
  <sheetData>
    <row r="1" customFormat="false" ht="22.05" hidden="false" customHeight="false" outlineLevel="0" collapsed="false">
      <c r="A1" s="1" t="s">
        <v>579</v>
      </c>
    </row>
    <row r="2" customFormat="false" ht="15" hidden="false" customHeight="false" outlineLevel="0" collapsed="false">
      <c r="A2" s="2" t="s">
        <v>580</v>
      </c>
    </row>
    <row r="4" customFormat="false" ht="30" hidden="false" customHeight="true" outlineLevel="0" collapsed="false">
      <c r="A4" s="13" t="s">
        <v>581</v>
      </c>
      <c r="B4" s="13" t="s">
        <v>36</v>
      </c>
      <c r="C4" s="13" t="s">
        <v>582</v>
      </c>
      <c r="D4" s="13" t="s">
        <v>583</v>
      </c>
      <c r="E4" s="13" t="s">
        <v>584</v>
      </c>
      <c r="F4" s="13" t="s">
        <v>585</v>
      </c>
      <c r="G4" s="13" t="s">
        <v>586</v>
      </c>
      <c r="H4" s="13" t="s">
        <v>587</v>
      </c>
      <c r="I4" s="13" t="s">
        <v>45</v>
      </c>
    </row>
    <row r="5" customFormat="false" ht="15" hidden="false" customHeight="false" outlineLevel="0" collapsed="false">
      <c r="A5" s="14" t="s">
        <v>288</v>
      </c>
      <c r="B5" s="14" t="s">
        <v>6</v>
      </c>
      <c r="C5" s="68" t="n">
        <v>455924</v>
      </c>
      <c r="D5" s="14" t="s">
        <v>588</v>
      </c>
      <c r="E5" s="68" t="n">
        <v>17986</v>
      </c>
      <c r="F5" s="14" t="s">
        <v>589</v>
      </c>
      <c r="G5" s="14" t="s">
        <v>590</v>
      </c>
      <c r="H5" s="14" t="s">
        <v>74</v>
      </c>
      <c r="I5" s="16" t="s">
        <v>591</v>
      </c>
    </row>
    <row r="6" customFormat="false" ht="15" hidden="false" customHeight="false" outlineLevel="0" collapsed="false">
      <c r="A6" s="14" t="s">
        <v>57</v>
      </c>
      <c r="B6" s="14" t="s">
        <v>6</v>
      </c>
      <c r="C6" s="68" t="n">
        <v>226000</v>
      </c>
      <c r="D6" s="14" t="s">
        <v>592</v>
      </c>
      <c r="E6" s="68"/>
      <c r="F6" s="14" t="s">
        <v>593</v>
      </c>
      <c r="G6" s="14" t="s">
        <v>594</v>
      </c>
      <c r="H6" s="14" t="s">
        <v>595</v>
      </c>
      <c r="I6" s="16" t="s">
        <v>596</v>
      </c>
    </row>
    <row r="7" customFormat="false" ht="15" hidden="false" customHeight="false" outlineLevel="0" collapsed="false">
      <c r="A7" s="14" t="s">
        <v>251</v>
      </c>
      <c r="B7" s="14" t="s">
        <v>6</v>
      </c>
      <c r="C7" s="68" t="n">
        <v>83625</v>
      </c>
      <c r="D7" s="14" t="s">
        <v>592</v>
      </c>
      <c r="E7" s="68" t="n">
        <v>5300</v>
      </c>
      <c r="F7" s="14" t="s">
        <v>597</v>
      </c>
      <c r="G7" s="14" t="s">
        <v>598</v>
      </c>
      <c r="H7" s="14" t="s">
        <v>595</v>
      </c>
      <c r="I7" s="16" t="s">
        <v>599</v>
      </c>
    </row>
    <row r="8" customFormat="false" ht="15" hidden="false" customHeight="false" outlineLevel="0" collapsed="false">
      <c r="A8" s="14" t="s">
        <v>69</v>
      </c>
      <c r="B8" s="14" t="s">
        <v>6</v>
      </c>
      <c r="C8" s="68" t="n">
        <v>1056</v>
      </c>
      <c r="D8" s="14" t="s">
        <v>600</v>
      </c>
      <c r="E8" s="68" t="n">
        <v>1800</v>
      </c>
      <c r="F8" s="14" t="s">
        <v>601</v>
      </c>
      <c r="G8" s="14" t="s">
        <v>602</v>
      </c>
      <c r="H8" s="14" t="s">
        <v>603</v>
      </c>
      <c r="I8" s="16" t="s">
        <v>604</v>
      </c>
    </row>
    <row r="9" customFormat="false" ht="15" hidden="false" customHeight="false" outlineLevel="0" collapsed="false">
      <c r="A9" s="14" t="s">
        <v>363</v>
      </c>
      <c r="B9" s="14" t="s">
        <v>6</v>
      </c>
      <c r="C9" s="68" t="n">
        <v>82031</v>
      </c>
      <c r="D9" s="14" t="s">
        <v>592</v>
      </c>
      <c r="E9" s="68" t="n">
        <v>4174</v>
      </c>
      <c r="F9" s="14" t="s">
        <v>605</v>
      </c>
      <c r="G9" s="14" t="s">
        <v>606</v>
      </c>
      <c r="H9" s="14" t="s">
        <v>74</v>
      </c>
      <c r="I9" s="16" t="s">
        <v>607</v>
      </c>
    </row>
    <row r="10" customFormat="false" ht="15" hidden="false" customHeight="false" outlineLevel="0" collapsed="false">
      <c r="A10" s="14" t="s">
        <v>608</v>
      </c>
      <c r="B10" s="14" t="s">
        <v>6</v>
      </c>
      <c r="C10" s="68" t="n">
        <v>48353</v>
      </c>
      <c r="D10" s="14" t="s">
        <v>588</v>
      </c>
      <c r="E10" s="68" t="n">
        <v>5120</v>
      </c>
      <c r="F10" s="14" t="s">
        <v>609</v>
      </c>
      <c r="G10" s="14" t="s">
        <v>610</v>
      </c>
      <c r="H10" s="14" t="s">
        <v>74</v>
      </c>
      <c r="I10" s="16" t="s">
        <v>611</v>
      </c>
    </row>
    <row r="11" customFormat="false" ht="15" hidden="false" customHeight="false" outlineLevel="0" collapsed="false">
      <c r="A11" s="14" t="s">
        <v>319</v>
      </c>
      <c r="B11" s="14" t="s">
        <v>6</v>
      </c>
      <c r="C11" s="68" t="n">
        <v>80241</v>
      </c>
      <c r="D11" s="14" t="s">
        <v>600</v>
      </c>
      <c r="E11" s="68"/>
      <c r="F11" s="14" t="s">
        <v>612</v>
      </c>
      <c r="G11" s="14" t="s">
        <v>613</v>
      </c>
      <c r="H11" s="14" t="s">
        <v>614</v>
      </c>
      <c r="I11" s="16" t="s">
        <v>615</v>
      </c>
    </row>
    <row r="12" customFormat="false" ht="15" hidden="false" customHeight="false" outlineLevel="0" collapsed="false">
      <c r="A12" s="14" t="s">
        <v>616</v>
      </c>
      <c r="B12" s="14" t="s">
        <v>6</v>
      </c>
      <c r="C12" s="68" t="n">
        <v>111000</v>
      </c>
      <c r="D12" s="14" t="s">
        <v>592</v>
      </c>
      <c r="E12" s="68"/>
      <c r="F12" s="14" t="s">
        <v>617</v>
      </c>
      <c r="G12" s="14" t="s">
        <v>618</v>
      </c>
      <c r="H12" s="14" t="s">
        <v>595</v>
      </c>
      <c r="I12" s="16" t="s">
        <v>619</v>
      </c>
    </row>
    <row r="13" customFormat="false" ht="15" hidden="false" customHeight="false" outlineLevel="0" collapsed="false">
      <c r="A13" s="14" t="s">
        <v>93</v>
      </c>
      <c r="B13" s="14" t="s">
        <v>6</v>
      </c>
      <c r="C13" s="68" t="n">
        <v>82807</v>
      </c>
      <c r="D13" s="14" t="s">
        <v>592</v>
      </c>
      <c r="E13" s="68" t="n">
        <v>1212</v>
      </c>
      <c r="F13" s="14" t="s">
        <v>620</v>
      </c>
      <c r="G13" s="14" t="s">
        <v>621</v>
      </c>
      <c r="H13" s="14" t="s">
        <v>74</v>
      </c>
      <c r="I13" s="16" t="s">
        <v>622</v>
      </c>
    </row>
    <row r="14" customFormat="false" ht="15" hidden="false" customHeight="false" outlineLevel="0" collapsed="false">
      <c r="A14" s="14" t="s">
        <v>369</v>
      </c>
      <c r="B14" s="14" t="s">
        <v>9</v>
      </c>
      <c r="C14" s="68" t="n">
        <v>184255</v>
      </c>
      <c r="D14" s="14" t="s">
        <v>588</v>
      </c>
      <c r="E14" s="68" t="n">
        <v>10690</v>
      </c>
      <c r="F14" s="14" t="s">
        <v>623</v>
      </c>
      <c r="G14" s="14" t="s">
        <v>624</v>
      </c>
      <c r="H14" s="14" t="s">
        <v>74</v>
      </c>
      <c r="I14" s="16" t="s">
        <v>625</v>
      </c>
    </row>
    <row r="15" customFormat="false" ht="15" hidden="false" customHeight="false" outlineLevel="0" collapsed="false">
      <c r="A15" s="14" t="s">
        <v>626</v>
      </c>
      <c r="B15" s="14" t="s">
        <v>9</v>
      </c>
      <c r="C15" s="68" t="n">
        <v>152650</v>
      </c>
      <c r="D15" s="14" t="s">
        <v>627</v>
      </c>
      <c r="E15" s="68" t="n">
        <v>5007</v>
      </c>
      <c r="F15" s="14" t="s">
        <v>628</v>
      </c>
      <c r="G15" s="14" t="s">
        <v>629</v>
      </c>
      <c r="H15" s="14" t="s">
        <v>74</v>
      </c>
      <c r="I15" s="16" t="s">
        <v>630</v>
      </c>
    </row>
    <row r="16" customFormat="false" ht="15" hidden="false" customHeight="false" outlineLevel="0" collapsed="false">
      <c r="A16" s="14" t="s">
        <v>631</v>
      </c>
      <c r="B16" s="14" t="s">
        <v>9</v>
      </c>
      <c r="C16" s="68" t="n">
        <v>179326</v>
      </c>
      <c r="D16" s="14" t="s">
        <v>592</v>
      </c>
      <c r="E16" s="68" t="n">
        <v>4128</v>
      </c>
      <c r="F16" s="14" t="s">
        <v>632</v>
      </c>
      <c r="G16" s="14" t="s">
        <v>633</v>
      </c>
      <c r="H16" s="14" t="s">
        <v>74</v>
      </c>
      <c r="I16" s="16" t="s">
        <v>634</v>
      </c>
    </row>
    <row r="17" customFormat="false" ht="15" hidden="false" customHeight="false" outlineLevel="0" collapsed="false">
      <c r="A17" s="14" t="s">
        <v>486</v>
      </c>
      <c r="B17" s="14" t="s">
        <v>9</v>
      </c>
      <c r="C17" s="68" t="n">
        <v>100128</v>
      </c>
      <c r="D17" s="14" t="s">
        <v>592</v>
      </c>
      <c r="E17" s="68" t="n">
        <v>2706</v>
      </c>
      <c r="F17" s="14" t="s">
        <v>635</v>
      </c>
      <c r="G17" s="14" t="s">
        <v>636</v>
      </c>
      <c r="H17" s="14" t="s">
        <v>74</v>
      </c>
      <c r="I17" s="16" t="s">
        <v>637</v>
      </c>
    </row>
    <row r="18" customFormat="false" ht="15" hidden="false" customHeight="false" outlineLevel="0" collapsed="false">
      <c r="A18" s="14" t="s">
        <v>638</v>
      </c>
      <c r="B18" s="14" t="s">
        <v>9</v>
      </c>
      <c r="C18" s="68" t="n">
        <v>96000</v>
      </c>
      <c r="D18" s="14" t="s">
        <v>592</v>
      </c>
      <c r="E18" s="68"/>
      <c r="F18" s="14" t="s">
        <v>639</v>
      </c>
      <c r="G18" s="14" t="s">
        <v>640</v>
      </c>
      <c r="H18" s="14" t="s">
        <v>595</v>
      </c>
      <c r="I18" s="16" t="s">
        <v>641</v>
      </c>
    </row>
    <row r="20" customFormat="false" ht="15" hidden="false" customHeight="false" outlineLevel="0" collapsed="false">
      <c r="A20" s="3" t="s">
        <v>642</v>
      </c>
    </row>
    <row r="21" customFormat="false" ht="30" hidden="false" customHeight="true" outlineLevel="0" collapsed="false">
      <c r="A21" s="13" t="s">
        <v>36</v>
      </c>
      <c r="B21" s="13" t="s">
        <v>582</v>
      </c>
      <c r="C21" s="13" t="s">
        <v>643</v>
      </c>
      <c r="D21" s="13" t="s">
        <v>583</v>
      </c>
      <c r="E21" s="13" t="s">
        <v>644</v>
      </c>
      <c r="F21" s="13" t="s">
        <v>645</v>
      </c>
      <c r="G21" s="13" t="s">
        <v>646</v>
      </c>
      <c r="H21" s="13" t="s">
        <v>647</v>
      </c>
      <c r="I21" s="13" t="s">
        <v>45</v>
      </c>
    </row>
    <row r="22" customFormat="false" ht="15" hidden="false" customHeight="false" outlineLevel="0" collapsed="false">
      <c r="A22" s="14" t="s">
        <v>6</v>
      </c>
      <c r="B22" s="68" t="n">
        <v>2738356</v>
      </c>
      <c r="C22" s="68" t="n">
        <v>98394</v>
      </c>
      <c r="D22" s="14" t="s">
        <v>588</v>
      </c>
      <c r="E22" s="69" t="n">
        <v>12000</v>
      </c>
      <c r="F22" s="69" t="n">
        <v>2200</v>
      </c>
      <c r="G22" s="68" t="n">
        <f aca="false">E22+F22</f>
        <v>14200</v>
      </c>
      <c r="H22" s="70" t="n">
        <f aca="false">IF(C22=0,0,G22/C22)</f>
        <v>0.144317742951806</v>
      </c>
      <c r="I22" s="16" t="s">
        <v>648</v>
      </c>
    </row>
    <row r="23" customFormat="false" ht="15" hidden="false" customHeight="false" outlineLevel="0" collapsed="false">
      <c r="A23" s="14" t="s">
        <v>9</v>
      </c>
      <c r="B23" s="68" t="n">
        <v>2000000</v>
      </c>
      <c r="C23" s="68" t="n">
        <v>67274</v>
      </c>
      <c r="D23" s="14" t="s">
        <v>627</v>
      </c>
      <c r="E23" s="69" t="n">
        <v>8200</v>
      </c>
      <c r="F23" s="69" t="n">
        <v>1500</v>
      </c>
      <c r="G23" s="68" t="n">
        <f aca="false">E23+F23</f>
        <v>9700</v>
      </c>
      <c r="H23" s="70" t="n">
        <f aca="false">IF(C23=0,0,G23/C23)</f>
        <v>0.144186461337218</v>
      </c>
      <c r="I23" s="16" t="s">
        <v>649</v>
      </c>
    </row>
    <row r="24" customFormat="false" ht="15" hidden="false" customHeight="false" outlineLevel="0" collapsed="false">
      <c r="A24" s="2" t="s">
        <v>650</v>
      </c>
    </row>
  </sheetData>
  <hyperlinks>
    <hyperlink ref="I5" r:id="rId1" display="https://www.census.gov/quickfacts/fact/table/miamicityflorida/PST045224"/>
    <hyperlink ref="I6" r:id="rId2" display="https://datausa.io/profile/geo/hialeah-fl/"/>
    <hyperlink ref="I7" r:id="rId3" display="https://www.census.gov/quickfacts/fact/table/doralcityflorida/PST045225"/>
    <hyperlink ref="I8" r:id="rId4" display="https://www.townofmedley.com/about-us"/>
    <hyperlink ref="I9" r:id="rId5" display="https://census.gov/quickfacts/fact/table/miamibeachcityflorida/POP060210"/>
    <hyperlink ref="I10" r:id="rId6" display="https://www.census.gov/quickfacts/fact/table/coralgablescityflorida/PST045224"/>
    <hyperlink ref="I11" r:id="rId7" display="https://en.wikipedia.org/wiki/Kendall,_Florida"/>
    <hyperlink ref="I12" r:id="rId8" display="https://www.census.gov/quickfacts/fact/table/miamigardenscityflorida/POP060210"/>
    <hyperlink ref="I13" r:id="rId9" display="https://census.gov/quickfacts/fact/table/homesteadcityflorida/PST120223"/>
    <hyperlink ref="I14" r:id="rId10" display="https://www.census.gov/quickfacts/fact/table/fortlauderdalecityflorida/PST045225"/>
    <hyperlink ref="I15" r:id="rId11" display="https://www.census.gov/quickfacts/fact/table/hollywoodcityflorida/PST045222"/>
    <hyperlink ref="I16" r:id="rId12" display="https://www.census.gov/quickfacts/fact/table/pembrokepinescityflorida/SBO010222"/>
    <hyperlink ref="I17" r:id="rId13" display="https://www.census.gov/quickfacts/fact/table/sunrisecityflorida/PST045222"/>
    <hyperlink ref="I18" r:id="rId14" display="https://www.census.gov/quickfacts/fact/table/plantationcityflorida/PST045225"/>
    <hyperlink ref="I22" r:id="rId15" display="https://www.miamidadematters.org/indicators/index/view?indicatorId=6371&amp;localeId=414"/>
    <hyperlink ref="I23" r:id="rId16" display="https://www.census.gov/quickfacts/fact/table/browardcountyflorida/PST045224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34"/>
    <col collapsed="false" customWidth="true" hidden="false" outlineLevel="0" max="5" min="5" style="0" width="60"/>
  </cols>
  <sheetData>
    <row r="1" customFormat="false" ht="22.05" hidden="false" customHeight="false" outlineLevel="0" collapsed="false">
      <c r="A1" s="1" t="s">
        <v>651</v>
      </c>
    </row>
    <row r="2" customFormat="false" ht="15" hidden="false" customHeight="false" outlineLevel="0" collapsed="false">
      <c r="A2" s="2" t="s">
        <v>652</v>
      </c>
    </row>
    <row r="4" customFormat="false" ht="30" hidden="false" customHeight="true" outlineLevel="0" collapsed="false">
      <c r="A4" s="13" t="s">
        <v>653</v>
      </c>
      <c r="B4" s="13" t="s">
        <v>654</v>
      </c>
      <c r="C4" s="13" t="s">
        <v>583</v>
      </c>
      <c r="D4" s="13" t="s">
        <v>45</v>
      </c>
      <c r="E4" s="13" t="s">
        <v>655</v>
      </c>
    </row>
    <row r="5" customFormat="false" ht="15" hidden="false" customHeight="false" outlineLevel="0" collapsed="false">
      <c r="A5" s="14" t="s">
        <v>656</v>
      </c>
      <c r="B5" s="14" t="s">
        <v>657</v>
      </c>
      <c r="C5" s="14" t="s">
        <v>658</v>
      </c>
      <c r="D5" s="14" t="s">
        <v>659</v>
      </c>
      <c r="E5" s="16" t="s">
        <v>660</v>
      </c>
    </row>
    <row r="6" customFormat="false" ht="15" hidden="false" customHeight="false" outlineLevel="0" collapsed="false">
      <c r="A6" s="14" t="s">
        <v>661</v>
      </c>
      <c r="B6" s="14" t="s">
        <v>662</v>
      </c>
      <c r="C6" s="14" t="s">
        <v>627</v>
      </c>
      <c r="D6" s="14" t="s">
        <v>663</v>
      </c>
      <c r="E6" s="16" t="s">
        <v>664</v>
      </c>
    </row>
    <row r="7" customFormat="false" ht="15" hidden="false" customHeight="false" outlineLevel="0" collapsed="false">
      <c r="A7" s="14" t="s">
        <v>665</v>
      </c>
      <c r="B7" s="14" t="s">
        <v>666</v>
      </c>
      <c r="C7" s="14" t="s">
        <v>658</v>
      </c>
      <c r="D7" s="14" t="s">
        <v>659</v>
      </c>
      <c r="E7" s="16" t="s">
        <v>660</v>
      </c>
    </row>
    <row r="8" customFormat="false" ht="15" hidden="false" customHeight="false" outlineLevel="0" collapsed="false">
      <c r="A8" s="14" t="s">
        <v>667</v>
      </c>
      <c r="B8" s="14" t="s">
        <v>668</v>
      </c>
      <c r="C8" s="14" t="s">
        <v>669</v>
      </c>
      <c r="D8" s="14" t="s">
        <v>670</v>
      </c>
      <c r="E8" s="16" t="s">
        <v>671</v>
      </c>
    </row>
    <row r="9" customFormat="false" ht="15" hidden="false" customHeight="false" outlineLevel="0" collapsed="false">
      <c r="A9" s="14" t="s">
        <v>672</v>
      </c>
      <c r="B9" s="14" t="s">
        <v>673</v>
      </c>
      <c r="C9" s="14" t="s">
        <v>669</v>
      </c>
      <c r="D9" s="14" t="s">
        <v>670</v>
      </c>
      <c r="E9" s="16" t="s">
        <v>671</v>
      </c>
    </row>
    <row r="10" customFormat="false" ht="15" hidden="false" customHeight="false" outlineLevel="0" collapsed="false">
      <c r="A10" s="14" t="s">
        <v>674</v>
      </c>
      <c r="B10" s="14" t="s">
        <v>675</v>
      </c>
      <c r="C10" s="14" t="s">
        <v>658</v>
      </c>
      <c r="D10" s="14" t="s">
        <v>676</v>
      </c>
      <c r="E10" s="16" t="s">
        <v>677</v>
      </c>
    </row>
    <row r="11" customFormat="false" ht="15" hidden="false" customHeight="false" outlineLevel="0" collapsed="false">
      <c r="A11" s="14" t="s">
        <v>678</v>
      </c>
      <c r="B11" s="14" t="s">
        <v>679</v>
      </c>
      <c r="C11" s="14" t="s">
        <v>592</v>
      </c>
      <c r="D11" s="14" t="s">
        <v>680</v>
      </c>
      <c r="E11" s="16" t="s">
        <v>681</v>
      </c>
    </row>
    <row r="12" customFormat="false" ht="15" hidden="false" customHeight="false" outlineLevel="0" collapsed="false">
      <c r="A12" s="14" t="s">
        <v>682</v>
      </c>
      <c r="B12" s="14" t="s">
        <v>683</v>
      </c>
      <c r="C12" s="14" t="s">
        <v>592</v>
      </c>
      <c r="D12" s="14" t="s">
        <v>680</v>
      </c>
      <c r="E12" s="16" t="s">
        <v>681</v>
      </c>
    </row>
    <row r="13" customFormat="false" ht="15" hidden="false" customHeight="false" outlineLevel="0" collapsed="false">
      <c r="A13" s="14" t="s">
        <v>684</v>
      </c>
      <c r="B13" s="14" t="s">
        <v>685</v>
      </c>
      <c r="C13" s="14" t="s">
        <v>592</v>
      </c>
      <c r="D13" s="14" t="s">
        <v>680</v>
      </c>
      <c r="E13" s="16" t="s">
        <v>681</v>
      </c>
    </row>
    <row r="14" customFormat="false" ht="15" hidden="false" customHeight="false" outlineLevel="0" collapsed="false">
      <c r="A14" s="14" t="s">
        <v>686</v>
      </c>
      <c r="B14" s="14" t="s">
        <v>687</v>
      </c>
      <c r="C14" s="14" t="s">
        <v>658</v>
      </c>
      <c r="D14" s="14" t="s">
        <v>688</v>
      </c>
      <c r="E14" s="16" t="s">
        <v>689</v>
      </c>
    </row>
    <row r="15" customFormat="false" ht="15" hidden="false" customHeight="false" outlineLevel="0" collapsed="false">
      <c r="A15" s="14" t="s">
        <v>690</v>
      </c>
      <c r="B15" s="14" t="s">
        <v>691</v>
      </c>
      <c r="C15" s="14" t="s">
        <v>669</v>
      </c>
      <c r="D15" s="14" t="s">
        <v>692</v>
      </c>
      <c r="E15" s="16" t="s">
        <v>693</v>
      </c>
    </row>
    <row r="16" customFormat="false" ht="15" hidden="false" customHeight="false" outlineLevel="0" collapsed="false">
      <c r="A16" s="14" t="s">
        <v>694</v>
      </c>
      <c r="B16" s="14" t="s">
        <v>695</v>
      </c>
      <c r="C16" s="14" t="s">
        <v>658</v>
      </c>
      <c r="D16" s="14" t="s">
        <v>696</v>
      </c>
      <c r="E16" s="16" t="s">
        <v>697</v>
      </c>
    </row>
    <row r="17" customFormat="false" ht="15" hidden="false" customHeight="false" outlineLevel="0" collapsed="false">
      <c r="A17" s="14" t="s">
        <v>698</v>
      </c>
      <c r="B17" s="14" t="s">
        <v>699</v>
      </c>
      <c r="C17" s="14" t="s">
        <v>658</v>
      </c>
      <c r="D17" s="14" t="s">
        <v>700</v>
      </c>
      <c r="E17" s="16" t="s">
        <v>701</v>
      </c>
    </row>
    <row r="18" customFormat="false" ht="15" hidden="false" customHeight="false" outlineLevel="0" collapsed="false">
      <c r="A18" s="14" t="s">
        <v>702</v>
      </c>
      <c r="B18" s="14" t="s">
        <v>703</v>
      </c>
      <c r="C18" s="14" t="s">
        <v>658</v>
      </c>
      <c r="D18" s="14" t="s">
        <v>704</v>
      </c>
      <c r="E18" s="16" t="s">
        <v>705</v>
      </c>
    </row>
  </sheetData>
  <hyperlinks>
    <hyperlink ref="E5" r:id="rId1" display="https://clutch.co/press-releases/smb-websites-2025"/>
    <hyperlink ref="E6" r:id="rId2" display="https://www.prnewswire.com/news-releases/27-of-small-businesses-still-dont-have-a-website-in-2022-301542302.html"/>
    <hyperlink ref="E7" r:id="rId3" display="https://clutch.co/press-releases/smb-websites-2025"/>
    <hyperlink ref="E8" r:id="rId4" display="https://localiq.com/blog/small-business-marketing-trends-report-2026/"/>
    <hyperlink ref="E9" r:id="rId5" display="https://localiq.com/blog/small-business-marketing-trends-report-2026/"/>
    <hyperlink ref="E10" r:id="rId6" display="https://www.uschamber.com/technology/artificial-intelligence/u-s-chambers-latest-empowering-small-business-report-shows-majority-of-businesses-in-all-50-states-are-embracing-ai"/>
    <hyperlink ref="E11" r:id="rId7" display="https://www.businessobserverfl.com/news/2025/may/19/florida-new-business-formations/"/>
    <hyperlink ref="E12" r:id="rId8" display="https://www.businessobserverfl.com/news/2025/may/19/florida-new-business-formations/"/>
    <hyperlink ref="E13" r:id="rId9" display="https://www.businessobserverfl.com/news/2025/may/19/florida-new-business-formations/"/>
    <hyperlink ref="E14" r:id="rId10" display="https://advocacy.sba.gov/wp-content/uploads/2025/06/Florida_2025-State-Profile.pdf"/>
    <hyperlink ref="E15" r:id="rId11" display="https://dos.fl.gov/sunbiz/"/>
    <hyperlink ref="E16" r:id="rId12" display="https://dos.fl.gov/sunbiz/about-us/yearly-statistics/"/>
    <hyperlink ref="E17" r:id="rId13" display="https://www.adatitleiii.com/2026/02/ada-title-iii-federal-lawsuit-filings-fall-slightly-to-8667-in-2025/"/>
    <hyperlink ref="E18" r:id="rId14" display="https://blog.usablenet.com/ada-web-lawsuit-trends-202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8"/>
    <col collapsed="false" customWidth="true" hidden="false" outlineLevel="0" max="4" min="3" style="0" width="11"/>
    <col collapsed="false" customWidth="true" hidden="false" outlineLevel="0" max="5" min="5" style="0" width="40"/>
    <col collapsed="false" customWidth="true" hidden="false" outlineLevel="0" max="6" min="6" style="0" width="60"/>
  </cols>
  <sheetData>
    <row r="1" customFormat="false" ht="22.05" hidden="false" customHeight="false" outlineLevel="0" collapsed="false">
      <c r="A1" s="1" t="s">
        <v>706</v>
      </c>
    </row>
    <row r="2" customFormat="false" ht="15" hidden="false" customHeight="false" outlineLevel="0" collapsed="false">
      <c r="A2" s="2" t="s">
        <v>707</v>
      </c>
    </row>
    <row r="4" customFormat="false" ht="30" hidden="false" customHeight="true" outlineLevel="0" collapsed="false">
      <c r="A4" s="13" t="s">
        <v>708</v>
      </c>
      <c r="B4" s="13" t="s">
        <v>38</v>
      </c>
      <c r="C4" s="13" t="s">
        <v>709</v>
      </c>
      <c r="D4" s="13" t="s">
        <v>710</v>
      </c>
      <c r="E4" s="13" t="s">
        <v>711</v>
      </c>
      <c r="F4" s="13" t="s">
        <v>45</v>
      </c>
    </row>
    <row r="5" customFormat="false" ht="15" hidden="false" customHeight="false" outlineLevel="0" collapsed="false">
      <c r="A5" s="14" t="s">
        <v>712</v>
      </c>
      <c r="B5" s="14"/>
      <c r="C5" s="71" t="n">
        <v>5.26</v>
      </c>
      <c r="D5" s="71" t="n">
        <v>70.11</v>
      </c>
      <c r="E5" s="14" t="s">
        <v>713</v>
      </c>
      <c r="F5" s="16" t="s">
        <v>714</v>
      </c>
    </row>
    <row r="6" customFormat="false" ht="15" hidden="false" customHeight="false" outlineLevel="0" collapsed="false">
      <c r="A6" s="14" t="s">
        <v>715</v>
      </c>
      <c r="B6" s="14" t="s">
        <v>716</v>
      </c>
      <c r="C6" s="71" t="n">
        <v>9.87</v>
      </c>
      <c r="D6" s="71" t="n">
        <v>131.63</v>
      </c>
      <c r="E6" s="14" t="s">
        <v>717</v>
      </c>
      <c r="F6" s="16" t="s">
        <v>718</v>
      </c>
    </row>
    <row r="7" customFormat="false" ht="15" hidden="false" customHeight="false" outlineLevel="0" collapsed="false">
      <c r="A7" s="14" t="s">
        <v>719</v>
      </c>
      <c r="B7" s="14" t="s">
        <v>279</v>
      </c>
      <c r="C7" s="71" t="n">
        <v>8</v>
      </c>
      <c r="D7" s="71"/>
      <c r="E7" s="14" t="s">
        <v>720</v>
      </c>
      <c r="F7" s="16" t="s">
        <v>718</v>
      </c>
    </row>
    <row r="8" customFormat="false" ht="15" hidden="false" customHeight="false" outlineLevel="0" collapsed="false">
      <c r="A8" s="14" t="s">
        <v>721</v>
      </c>
      <c r="B8" s="14" t="s">
        <v>279</v>
      </c>
      <c r="C8" s="71" t="n">
        <v>5</v>
      </c>
      <c r="D8" s="71" t="n">
        <v>56.83</v>
      </c>
      <c r="E8" s="14" t="s">
        <v>722</v>
      </c>
      <c r="F8" s="16" t="s">
        <v>714</v>
      </c>
    </row>
    <row r="9" customFormat="false" ht="15" hidden="false" customHeight="false" outlineLevel="0" collapsed="false">
      <c r="A9" s="14" t="s">
        <v>723</v>
      </c>
      <c r="B9" s="14" t="s">
        <v>95</v>
      </c>
      <c r="C9" s="71" t="n">
        <v>10.7</v>
      </c>
      <c r="D9" s="71" t="n">
        <v>228.15</v>
      </c>
      <c r="E9" s="14" t="s">
        <v>724</v>
      </c>
      <c r="F9" s="16" t="s">
        <v>725</v>
      </c>
    </row>
    <row r="10" customFormat="false" ht="15" hidden="false" customHeight="false" outlineLevel="0" collapsed="false">
      <c r="A10" s="14" t="s">
        <v>182</v>
      </c>
      <c r="B10" s="14" t="s">
        <v>95</v>
      </c>
      <c r="C10" s="71"/>
      <c r="D10" s="71" t="n">
        <v>76.4</v>
      </c>
      <c r="E10" s="14" t="s">
        <v>724</v>
      </c>
      <c r="F10" s="16" t="s">
        <v>725</v>
      </c>
    </row>
    <row r="11" customFormat="false" ht="15" hidden="false" customHeight="false" outlineLevel="0" collapsed="false">
      <c r="A11" s="14" t="s">
        <v>320</v>
      </c>
      <c r="B11" s="14" t="s">
        <v>95</v>
      </c>
      <c r="C11" s="71"/>
      <c r="D11" s="71" t="n">
        <v>84.92</v>
      </c>
      <c r="E11" s="14" t="s">
        <v>724</v>
      </c>
      <c r="F11" s="16" t="s">
        <v>725</v>
      </c>
    </row>
    <row r="12" customFormat="false" ht="15" hidden="false" customHeight="false" outlineLevel="0" collapsed="false">
      <c r="A12" s="14" t="s">
        <v>726</v>
      </c>
      <c r="B12" s="14" t="s">
        <v>95</v>
      </c>
      <c r="C12" s="71" t="n">
        <v>5.31</v>
      </c>
      <c r="D12" s="71"/>
      <c r="E12" s="14" t="s">
        <v>724</v>
      </c>
      <c r="F12" s="16" t="s">
        <v>725</v>
      </c>
    </row>
    <row r="13" customFormat="false" ht="15" hidden="false" customHeight="false" outlineLevel="0" collapsed="false">
      <c r="A13" s="14" t="s">
        <v>727</v>
      </c>
      <c r="B13" s="14" t="s">
        <v>151</v>
      </c>
      <c r="C13" s="71"/>
      <c r="D13" s="71" t="n">
        <v>28.5</v>
      </c>
      <c r="E13" s="14" t="s">
        <v>722</v>
      </c>
      <c r="F13" s="16" t="s">
        <v>714</v>
      </c>
    </row>
    <row r="14" customFormat="false" ht="15" hidden="false" customHeight="false" outlineLevel="0" collapsed="false">
      <c r="A14" s="14" t="s">
        <v>728</v>
      </c>
      <c r="B14" s="14" t="s">
        <v>309</v>
      </c>
      <c r="C14" s="71" t="n">
        <v>2.05</v>
      </c>
      <c r="D14" s="71" t="n">
        <v>30.27</v>
      </c>
      <c r="E14" s="14" t="s">
        <v>722</v>
      </c>
      <c r="F14" s="16" t="s">
        <v>714</v>
      </c>
    </row>
    <row r="15" customFormat="false" ht="15" hidden="false" customHeight="false" outlineLevel="0" collapsed="false">
      <c r="A15" s="14" t="s">
        <v>729</v>
      </c>
      <c r="B15" s="14" t="s">
        <v>85</v>
      </c>
      <c r="C15" s="71"/>
      <c r="D15" s="71" t="n">
        <v>103.54</v>
      </c>
      <c r="E15" s="14" t="s">
        <v>722</v>
      </c>
      <c r="F15" s="16" t="s">
        <v>714</v>
      </c>
    </row>
    <row r="16" customFormat="false" ht="15" hidden="false" customHeight="false" outlineLevel="0" collapsed="false">
      <c r="A16" s="14" t="s">
        <v>730</v>
      </c>
      <c r="B16" s="14" t="s">
        <v>488</v>
      </c>
      <c r="C16" s="71"/>
      <c r="D16" s="71" t="n">
        <v>100.48</v>
      </c>
      <c r="E16" s="14" t="s">
        <v>722</v>
      </c>
      <c r="F16" s="16" t="s">
        <v>714</v>
      </c>
    </row>
    <row r="17" customFormat="false" ht="15" hidden="false" customHeight="false" outlineLevel="0" collapsed="false">
      <c r="A17" s="14" t="s">
        <v>731</v>
      </c>
      <c r="B17" s="14" t="s">
        <v>279</v>
      </c>
      <c r="C17" s="71" t="n">
        <v>9.81</v>
      </c>
      <c r="D17" s="71" t="n">
        <v>105</v>
      </c>
      <c r="E17" s="14" t="s">
        <v>732</v>
      </c>
      <c r="F17" s="16" t="s">
        <v>733</v>
      </c>
    </row>
    <row r="18" customFormat="false" ht="15" hidden="false" customHeight="false" outlineLevel="0" collapsed="false">
      <c r="A18" s="14" t="s">
        <v>734</v>
      </c>
      <c r="B18" s="14" t="s">
        <v>716</v>
      </c>
      <c r="C18" s="71" t="n">
        <v>70</v>
      </c>
      <c r="D18" s="71" t="n">
        <v>300</v>
      </c>
      <c r="E18" s="14" t="s">
        <v>735</v>
      </c>
      <c r="F18" s="16" t="s">
        <v>736</v>
      </c>
    </row>
    <row r="19" customFormat="false" ht="15" hidden="false" customHeight="false" outlineLevel="0" collapsed="false">
      <c r="A19" s="14" t="s">
        <v>737</v>
      </c>
      <c r="B19" s="14" t="s">
        <v>716</v>
      </c>
      <c r="C19" s="71" t="n">
        <v>45</v>
      </c>
      <c r="D19" s="71"/>
      <c r="E19" s="14" t="s">
        <v>738</v>
      </c>
      <c r="F19" s="16" t="s">
        <v>739</v>
      </c>
    </row>
    <row r="21" customFormat="false" ht="15" hidden="false" customHeight="false" outlineLevel="0" collapsed="false">
      <c r="A21" s="3" t="s">
        <v>740</v>
      </c>
    </row>
    <row r="22" customFormat="false" ht="30" hidden="false" customHeight="true" outlineLevel="0" collapsed="false">
      <c r="A22" s="13" t="s">
        <v>741</v>
      </c>
      <c r="B22" s="13" t="s">
        <v>742</v>
      </c>
      <c r="C22" s="13" t="s">
        <v>743</v>
      </c>
      <c r="D22" s="13" t="s">
        <v>744</v>
      </c>
      <c r="E22" s="13" t="s">
        <v>745</v>
      </c>
      <c r="F22" s="13" t="s">
        <v>45</v>
      </c>
    </row>
    <row r="23" customFormat="false" ht="15" hidden="false" customHeight="false" outlineLevel="0" collapsed="false">
      <c r="A23" s="14" t="s">
        <v>746</v>
      </c>
      <c r="B23" s="63" t="n">
        <v>2500</v>
      </c>
      <c r="C23" s="63" t="n">
        <v>15000</v>
      </c>
      <c r="D23" s="63" t="n">
        <f aca="false">AVERAGE(B23:C23)</f>
        <v>8750</v>
      </c>
      <c r="E23" s="14" t="s">
        <v>747</v>
      </c>
      <c r="F23" s="16" t="s">
        <v>748</v>
      </c>
    </row>
    <row r="24" customFormat="false" ht="15" hidden="false" customHeight="false" outlineLevel="0" collapsed="false">
      <c r="A24" s="14" t="s">
        <v>749</v>
      </c>
      <c r="B24" s="63" t="n">
        <v>500</v>
      </c>
      <c r="C24" s="63" t="n">
        <v>2000</v>
      </c>
      <c r="D24" s="63" t="n">
        <f aca="false">AVERAGE(B24:C24)</f>
        <v>1250</v>
      </c>
      <c r="E24" s="14" t="s">
        <v>747</v>
      </c>
      <c r="F24" s="16" t="s">
        <v>750</v>
      </c>
    </row>
    <row r="25" customFormat="false" ht="15" hidden="false" customHeight="false" outlineLevel="0" collapsed="false">
      <c r="A25" s="14" t="s">
        <v>751</v>
      </c>
      <c r="B25" s="63" t="n">
        <v>750</v>
      </c>
      <c r="C25" s="63" t="n">
        <v>3000</v>
      </c>
      <c r="D25" s="63" t="n">
        <f aca="false">AVERAGE(B25:C25)</f>
        <v>1875</v>
      </c>
      <c r="E25" s="14" t="s">
        <v>752</v>
      </c>
      <c r="F25" s="16" t="s">
        <v>753</v>
      </c>
    </row>
    <row r="26" customFormat="false" ht="15" hidden="false" customHeight="false" outlineLevel="0" collapsed="false">
      <c r="A26" s="14" t="s">
        <v>754</v>
      </c>
      <c r="B26" s="63" t="n">
        <v>1000</v>
      </c>
      <c r="C26" s="63" t="n">
        <v>3000</v>
      </c>
      <c r="D26" s="63" t="n">
        <f aca="false">AVERAGE(B26:C26)</f>
        <v>2000</v>
      </c>
      <c r="E26" s="14" t="s">
        <v>752</v>
      </c>
      <c r="F26" s="16" t="s">
        <v>755</v>
      </c>
    </row>
    <row r="27" customFormat="false" ht="15" hidden="false" customHeight="false" outlineLevel="0" collapsed="false">
      <c r="A27" s="14" t="s">
        <v>756</v>
      </c>
      <c r="B27" s="63" t="n">
        <v>500</v>
      </c>
      <c r="C27" s="63" t="n">
        <v>2500</v>
      </c>
      <c r="D27" s="63" t="n">
        <f aca="false">AVERAGE(B27:C27)</f>
        <v>1500</v>
      </c>
      <c r="E27" s="14" t="s">
        <v>757</v>
      </c>
      <c r="F27" s="16" t="s">
        <v>758</v>
      </c>
    </row>
    <row r="28" customFormat="false" ht="15" hidden="false" customHeight="false" outlineLevel="0" collapsed="false">
      <c r="A28" s="14" t="s">
        <v>759</v>
      </c>
      <c r="B28" s="63" t="n">
        <v>1000</v>
      </c>
      <c r="C28" s="63" t="n">
        <v>2500</v>
      </c>
      <c r="D28" s="63" t="n">
        <f aca="false">AVERAGE(B28:C28)</f>
        <v>1750</v>
      </c>
      <c r="E28" s="14" t="s">
        <v>760</v>
      </c>
      <c r="F28" s="16" t="s">
        <v>761</v>
      </c>
    </row>
  </sheetData>
  <hyperlinks>
    <hyperlink ref="F5" r:id="rId1" display="https://www.wordstream.com/blog/2025-google-ads-benchmarks"/>
    <hyperlink ref="F6" r:id="rId2" display="https://www.wordstream.com/blog/2026-google-ads-benchmarks"/>
    <hyperlink ref="F7" r:id="rId3" display="https://www.wordstream.com/blog/2026-google-ads-benchmarks"/>
    <hyperlink ref="F8" r:id="rId4" display="https://www.wordstream.com/blog/2025-google-ads-benchmarks"/>
    <hyperlink ref="F9" r:id="rId5" display="https://localiq.com/blog/home-services-search-advertising-benchmarks/"/>
    <hyperlink ref="F10" r:id="rId6" display="https://localiq.com/blog/home-services-search-advertising-benchmarks/"/>
    <hyperlink ref="F11" r:id="rId7" display="https://localiq.com/blog/home-services-search-advertising-benchmarks/"/>
    <hyperlink ref="F12" r:id="rId8" display="https://localiq.com/blog/home-services-search-advertising-benchmarks/"/>
    <hyperlink ref="F13" r:id="rId9" display="https://www.wordstream.com/blog/2025-google-ads-benchmarks"/>
    <hyperlink ref="F14" r:id="rId10" display="https://www.wordstream.com/blog/2025-google-ads-benchmarks"/>
    <hyperlink ref="F15" r:id="rId11" display="https://www.wordstream.com/blog/2025-google-ads-benchmarks"/>
    <hyperlink ref="F16" r:id="rId12" display="https://www.wordstream.com/blog/2025-google-ads-benchmarks"/>
    <hyperlink ref="F17" r:id="rId13" display="https://ppcchief.com/google-ads-cost/dental/miami"/>
    <hyperlink ref="F18" r:id="rId14" display="https://custom.legal/practice-areas/personal-injury-law-firm-marketing/cost-per-click-benchmarks-for-personal-injury/"/>
    <hyperlink ref="F19" r:id="rId15" display="https://www.greatmarketing.ai/blog/spanish-speaking-personal-injury-lawyer-marketing"/>
    <hyperlink ref="F23" r:id="rId16" display="https://tamer.marketing/blog/web-design-cost-miami/"/>
    <hyperlink ref="F24" r:id="rId17" display="https://startupstarz.com/how-much-does-a-website-cost-for-a-small-business-in-miami-2026-pricing-guide/"/>
    <hyperlink ref="F25" r:id="rId18" display="https://tamer.marketing/blog/seo-cost-miami/"/>
    <hyperlink ref="F26" r:id="rId19" display="https://onceonceagency.com/social-media-management-cost-miami/"/>
    <hyperlink ref="F27" r:id="rId20" display="https://www.2pointagency.com/glossary/pricing-for-ppc-management-services-in-miami/"/>
    <hyperlink ref="F28" r:id="rId21" display="https://www.americaneagle.com/insights/blog/post/how-much-does-it-cost-to-advertise-on-google-ads-in-2025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2"/>
    <col collapsed="false" customWidth="true" hidden="false" outlineLevel="0" max="3" min="3" style="0" width="52"/>
    <col collapsed="false" customWidth="true" hidden="false" outlineLevel="0" max="4" min="4" style="0" width="56"/>
  </cols>
  <sheetData>
    <row r="1" customFormat="false" ht="22.05" hidden="false" customHeight="false" outlineLevel="0" collapsed="false">
      <c r="A1" s="1" t="s">
        <v>762</v>
      </c>
    </row>
    <row r="2" customFormat="false" ht="15" hidden="false" customHeight="false" outlineLevel="0" collapsed="false">
      <c r="A2" s="2" t="s">
        <v>763</v>
      </c>
    </row>
    <row r="4" customFormat="false" ht="30" hidden="false" customHeight="true" outlineLevel="0" collapsed="false">
      <c r="A4" s="13" t="s">
        <v>764</v>
      </c>
      <c r="B4" s="13" t="s">
        <v>765</v>
      </c>
      <c r="C4" s="13" t="s">
        <v>766</v>
      </c>
      <c r="D4" s="13" t="s">
        <v>767</v>
      </c>
    </row>
    <row r="5" customFormat="false" ht="23.85" hidden="false" customHeight="false" outlineLevel="0" collapsed="false">
      <c r="A5" s="14" t="s">
        <v>768</v>
      </c>
      <c r="B5" s="14" t="s">
        <v>769</v>
      </c>
      <c r="C5" s="14" t="s">
        <v>770</v>
      </c>
      <c r="D5" s="16" t="s">
        <v>771</v>
      </c>
    </row>
    <row r="6" customFormat="false" ht="23.85" hidden="false" customHeight="false" outlineLevel="0" collapsed="false">
      <c r="A6" s="14" t="s">
        <v>772</v>
      </c>
      <c r="B6" s="14" t="s">
        <v>773</v>
      </c>
      <c r="C6" s="14" t="s">
        <v>774</v>
      </c>
      <c r="D6" s="16" t="s">
        <v>775</v>
      </c>
    </row>
    <row r="7" customFormat="false" ht="15" hidden="false" customHeight="false" outlineLevel="0" collapsed="false">
      <c r="A7" s="14" t="s">
        <v>776</v>
      </c>
      <c r="B7" s="14" t="s">
        <v>777</v>
      </c>
      <c r="C7" s="14" t="s">
        <v>778</v>
      </c>
      <c r="D7" s="16" t="s">
        <v>779</v>
      </c>
    </row>
    <row r="8" customFormat="false" ht="15" hidden="false" customHeight="false" outlineLevel="0" collapsed="false">
      <c r="A8" s="14" t="s">
        <v>780</v>
      </c>
      <c r="B8" s="14" t="s">
        <v>781</v>
      </c>
      <c r="C8" s="14" t="s">
        <v>782</v>
      </c>
      <c r="D8" s="16" t="s">
        <v>783</v>
      </c>
    </row>
    <row r="9" customFormat="false" ht="15" hidden="false" customHeight="false" outlineLevel="0" collapsed="false">
      <c r="A9" s="14" t="s">
        <v>784</v>
      </c>
      <c r="B9" s="14" t="s">
        <v>785</v>
      </c>
      <c r="C9" s="14" t="s">
        <v>786</v>
      </c>
      <c r="D9" s="16" t="s">
        <v>787</v>
      </c>
    </row>
    <row r="10" customFormat="false" ht="23.85" hidden="false" customHeight="false" outlineLevel="0" collapsed="false">
      <c r="A10" s="14" t="s">
        <v>788</v>
      </c>
      <c r="B10" s="14" t="s">
        <v>789</v>
      </c>
      <c r="C10" s="14" t="s">
        <v>790</v>
      </c>
      <c r="D10" s="16" t="s">
        <v>791</v>
      </c>
    </row>
    <row r="11" customFormat="false" ht="15" hidden="false" customHeight="false" outlineLevel="0" collapsed="false">
      <c r="A11" s="14" t="s">
        <v>792</v>
      </c>
      <c r="B11" s="14" t="s">
        <v>793</v>
      </c>
      <c r="C11" s="14" t="s">
        <v>794</v>
      </c>
      <c r="D11" s="16" t="s">
        <v>795</v>
      </c>
    </row>
    <row r="12" customFormat="false" ht="15" hidden="false" customHeight="false" outlineLevel="0" collapsed="false">
      <c r="A12" s="14" t="s">
        <v>796</v>
      </c>
      <c r="B12" s="14" t="s">
        <v>797</v>
      </c>
      <c r="C12" s="14" t="s">
        <v>798</v>
      </c>
      <c r="D12" s="16" t="s">
        <v>799</v>
      </c>
    </row>
    <row r="13" customFormat="false" ht="15" hidden="false" customHeight="false" outlineLevel="0" collapsed="false">
      <c r="A13" s="14" t="s">
        <v>800</v>
      </c>
      <c r="B13" s="14" t="s">
        <v>801</v>
      </c>
      <c r="C13" s="14" t="s">
        <v>802</v>
      </c>
      <c r="D13" s="16" t="s">
        <v>803</v>
      </c>
    </row>
    <row r="14" customFormat="false" ht="15" hidden="false" customHeight="false" outlineLevel="0" collapsed="false">
      <c r="A14" s="14" t="s">
        <v>804</v>
      </c>
      <c r="B14" s="14" t="s">
        <v>805</v>
      </c>
      <c r="C14" s="14" t="s">
        <v>802</v>
      </c>
      <c r="D14" s="16" t="s">
        <v>806</v>
      </c>
    </row>
    <row r="15" customFormat="false" ht="15" hidden="false" customHeight="false" outlineLevel="0" collapsed="false">
      <c r="A15" s="14" t="s">
        <v>807</v>
      </c>
      <c r="B15" s="14" t="s">
        <v>808</v>
      </c>
      <c r="C15" s="14" t="s">
        <v>802</v>
      </c>
      <c r="D15" s="16" t="s">
        <v>809</v>
      </c>
    </row>
    <row r="16" customFormat="false" ht="23.85" hidden="false" customHeight="false" outlineLevel="0" collapsed="false">
      <c r="A16" s="14" t="s">
        <v>810</v>
      </c>
      <c r="B16" s="14" t="s">
        <v>811</v>
      </c>
      <c r="C16" s="14" t="s">
        <v>812</v>
      </c>
      <c r="D16" s="16" t="s">
        <v>813</v>
      </c>
    </row>
    <row r="17" customFormat="false" ht="15" hidden="false" customHeight="false" outlineLevel="0" collapsed="false">
      <c r="A17" s="14" t="s">
        <v>814</v>
      </c>
      <c r="B17" s="14" t="s">
        <v>815</v>
      </c>
      <c r="C17" s="14" t="s">
        <v>816</v>
      </c>
      <c r="D17" s="16" t="s">
        <v>817</v>
      </c>
    </row>
    <row r="18" customFormat="false" ht="15" hidden="false" customHeight="false" outlineLevel="0" collapsed="false">
      <c r="A18" s="14" t="s">
        <v>818</v>
      </c>
      <c r="B18" s="14" t="s">
        <v>819</v>
      </c>
      <c r="C18" s="14" t="s">
        <v>820</v>
      </c>
      <c r="D18" s="16" t="s">
        <v>821</v>
      </c>
    </row>
    <row r="19" customFormat="false" ht="23.85" hidden="false" customHeight="false" outlineLevel="0" collapsed="false">
      <c r="A19" s="14" t="s">
        <v>822</v>
      </c>
      <c r="B19" s="14" t="s">
        <v>823</v>
      </c>
      <c r="C19" s="14" t="s">
        <v>824</v>
      </c>
      <c r="D19" s="16" t="s">
        <v>825</v>
      </c>
    </row>
    <row r="20" customFormat="false" ht="15" hidden="false" customHeight="false" outlineLevel="0" collapsed="false">
      <c r="A20" s="14" t="s">
        <v>826</v>
      </c>
      <c r="B20" s="14" t="s">
        <v>827</v>
      </c>
      <c r="C20" s="14" t="s">
        <v>828</v>
      </c>
      <c r="D20" s="16" t="s">
        <v>829</v>
      </c>
    </row>
    <row r="21" customFormat="false" ht="15" hidden="false" customHeight="false" outlineLevel="0" collapsed="false">
      <c r="A21" s="14" t="s">
        <v>830</v>
      </c>
      <c r="B21" s="14" t="s">
        <v>831</v>
      </c>
      <c r="C21" s="14" t="s">
        <v>832</v>
      </c>
      <c r="D21" s="16" t="s">
        <v>701</v>
      </c>
    </row>
    <row r="23" customFormat="false" ht="15" hidden="false" customHeight="false" outlineLevel="0" collapsed="false">
      <c r="A23" s="3" t="s">
        <v>833</v>
      </c>
    </row>
    <row r="24" customFormat="false" ht="23.85" hidden="false" customHeight="false" outlineLevel="0" collapsed="false">
      <c r="A24" s="14" t="s">
        <v>834</v>
      </c>
      <c r="B24" s="14"/>
      <c r="C24" s="14"/>
      <c r="D24" s="16" t="s">
        <v>835</v>
      </c>
    </row>
    <row r="25" customFormat="false" ht="15" hidden="false" customHeight="false" outlineLevel="0" collapsed="false">
      <c r="A25" s="14" t="s">
        <v>836</v>
      </c>
      <c r="B25" s="14"/>
      <c r="C25" s="14"/>
      <c r="D25" s="16" t="s">
        <v>837</v>
      </c>
    </row>
    <row r="26" customFormat="false" ht="15" hidden="false" customHeight="false" outlineLevel="0" collapsed="false">
      <c r="A26" s="14" t="s">
        <v>838</v>
      </c>
      <c r="B26" s="14"/>
      <c r="C26" s="14"/>
      <c r="D26" s="16" t="s">
        <v>839</v>
      </c>
    </row>
    <row r="27" customFormat="false" ht="15" hidden="false" customHeight="false" outlineLevel="0" collapsed="false">
      <c r="A27" s="14" t="s">
        <v>840</v>
      </c>
      <c r="B27" s="14"/>
      <c r="C27" s="14"/>
      <c r="D27" s="16" t="s">
        <v>787</v>
      </c>
    </row>
    <row r="28" customFormat="false" ht="15" hidden="false" customHeight="false" outlineLevel="0" collapsed="false">
      <c r="A28" s="14" t="s">
        <v>841</v>
      </c>
      <c r="B28" s="14"/>
      <c r="C28" s="14"/>
      <c r="D28" s="16" t="s">
        <v>842</v>
      </c>
    </row>
  </sheetData>
  <hyperlinks>
    <hyperlink ref="D5" r:id="rId1" display="https://dos.fl.gov/sunbiz/start-business/efile/fl-fictitious-name-registration/"/>
    <hyperlink ref="D6" r:id="rId2" display="https://search.sunbiz.org/"/>
    <hyperlink ref="D7" r:id="rId3" display="https://dos.fl.gov/sunbiz/manage-business/efile/annual-report/"/>
    <hyperlink ref="D8" r:id="rId4" display="https://dos.fl.gov/sunbiz/search/"/>
    <hyperlink ref="D9" r:id="rId5" display="https://dos.fl.gov/sunbiz/other-services/data-downloads/"/>
    <hyperlink ref="D10" r:id="rId6" display="https://www2.myfloridalicense.com/services-requiring-a-dbpr-license/"/>
    <hyperlink ref="D11" r:id="rId7" display="https://www.mdctaxcollector.gov/services/local-business-tax-receipt"/>
    <hyperlink ref="D12" r:id="rId8" display="https://browardtax.org/business-tax-receipt/"/>
    <hyperlink ref="D13" r:id="rId9" display="https://www.fortlauderdale.gov/Government/Departments/Community-Services/Business-Tax"/>
    <hyperlink ref="D14" r:id="rId10" display="https://www.miamibeachfl.gov/city-hall/finance/business-tax-receipts-btr/"/>
    <hyperlink ref="D15" r:id="rId11" display="https://www.townofmedley.com/local-business-tax-receipts"/>
    <hyperlink ref="D16" r:id="rId12" display="https://www.flsenate.gov/Committees/BillSummaries/2023/html/761"/>
    <hyperlink ref="D17" r:id="rId13" display="https://www.fdacs.gov/Consumer-Resources/Consumer-Rights-and-Responsibilities/Telemarketing"/>
    <hyperlink ref="D18" r:id="rId14" display="https://www.fdacs.gov/Business-Services/Florida-Do-Not-Call"/>
    <hyperlink ref="D19" r:id="rId15" display="https://www.ftc.gov/business-guidance/resources/can-spam-act-compliance-guide-business"/>
    <hyperlink ref="D20" r:id="rId16" display="https://privacylawmap.com/states/florida"/>
    <hyperlink ref="D21" r:id="rId17" display="https://www.adatitleiii.com/2026/02/ada-title-iii-federal-lawsuit-filings-fall-slightly-to-8667-in-2025/"/>
    <hyperlink ref="D24" r:id="rId18" display="https://opendata.miamidade.gov/datasets/local-business-tax-view"/>
    <hyperlink ref="D25" r:id="rId19" display="https://gis-mdc.opendata.arcgis.com/datasets/1952228619b0463cb6f9f7dc839bff88"/>
    <hyperlink ref="D26" r:id="rId20" display="https://geohub-bcgis.opendata.arcgis.com/datasets/business-tax-records/about"/>
    <hyperlink ref="D27" r:id="rId21" display="https://dos.fl.gov/sunbiz/other-services/data-downloads/"/>
    <hyperlink ref="D28" r:id="rId22" display="https://www2.myfloridalicense.com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0"/>
  </cols>
  <sheetData>
    <row r="1" customFormat="false" ht="22.05" hidden="false" customHeight="false" outlineLevel="0" collapsed="false">
      <c r="A1" s="1" t="s">
        <v>843</v>
      </c>
    </row>
    <row r="2" customFormat="false" ht="15" hidden="false" customHeight="false" outlineLevel="0" collapsed="false">
      <c r="A2" s="2" t="s">
        <v>844</v>
      </c>
    </row>
    <row r="4" customFormat="false" ht="30" hidden="false" customHeight="true" outlineLevel="0" collapsed="false">
      <c r="A4" s="13" t="s">
        <v>764</v>
      </c>
      <c r="B4" s="13" t="s">
        <v>845</v>
      </c>
    </row>
    <row r="5" customFormat="false" ht="23.85" hidden="false" customHeight="false" outlineLevel="0" collapsed="false">
      <c r="A5" s="65" t="s">
        <v>846</v>
      </c>
      <c r="B5" s="14" t="s">
        <v>847</v>
      </c>
    </row>
    <row r="6" customFormat="false" ht="23.85" hidden="false" customHeight="false" outlineLevel="0" collapsed="false">
      <c r="A6" s="65" t="s">
        <v>848</v>
      </c>
      <c r="B6" s="14" t="s">
        <v>849</v>
      </c>
    </row>
    <row r="7" customFormat="false" ht="23.85" hidden="false" customHeight="false" outlineLevel="0" collapsed="false">
      <c r="A7" s="65" t="s">
        <v>850</v>
      </c>
      <c r="B7" s="14" t="s">
        <v>851</v>
      </c>
    </row>
    <row r="8" customFormat="false" ht="15" hidden="false" customHeight="false" outlineLevel="0" collapsed="false">
      <c r="A8" s="65" t="s">
        <v>852</v>
      </c>
      <c r="B8" s="14" t="s">
        <v>853</v>
      </c>
    </row>
    <row r="9" customFormat="false" ht="15" hidden="false" customHeight="false" outlineLevel="0" collapsed="false">
      <c r="A9" s="65" t="s">
        <v>854</v>
      </c>
      <c r="B9" s="14" t="s">
        <v>855</v>
      </c>
    </row>
    <row r="10" customFormat="false" ht="15" hidden="false" customHeight="false" outlineLevel="0" collapsed="false">
      <c r="A10" s="65" t="s">
        <v>856</v>
      </c>
      <c r="B10" s="14" t="s">
        <v>857</v>
      </c>
    </row>
    <row r="11" customFormat="false" ht="15" hidden="false" customHeight="false" outlineLevel="0" collapsed="false">
      <c r="A11" s="65" t="s">
        <v>858</v>
      </c>
      <c r="B11" s="14" t="s">
        <v>859</v>
      </c>
    </row>
    <row r="12" customFormat="false" ht="23.85" hidden="false" customHeight="false" outlineLevel="0" collapsed="false">
      <c r="A12" s="65" t="s">
        <v>860</v>
      </c>
      <c r="B12" s="14" t="s">
        <v>861</v>
      </c>
    </row>
    <row r="13" customFormat="false" ht="15" hidden="false" customHeight="false" outlineLevel="0" collapsed="false">
      <c r="A13" s="65" t="s">
        <v>862</v>
      </c>
      <c r="B13" s="14" t="s">
        <v>863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2026-09-24T03:56:03Z</dcterms:created>
  <dc:creator>openpyxl</dc:creator>
  <dc:description/>
  <dc:language>en-US</dc:language>
  <cp:lastModifiedBy/>
  <dcterms:modified xsi:type="dcterms:W3CDTF">2026-09-24T03:56:06Z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